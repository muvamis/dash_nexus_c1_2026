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https://muvamozorg.sharepoint.com/sites/mis.drive/Documentos Partilhados/PROJECTOS/Sistema de Monitoria/NEXUS/2026/Dash_Nexus/"/>
    </mc:Choice>
  </mc:AlternateContent>
  <xr:revisionPtr revIDLastSave="5" documentId="13_ncr:1_{05888AF1-18D4-4466-B08C-7BFFA1D4E760}" xr6:coauthVersionLast="47" xr6:coauthVersionMax="47" xr10:uidLastSave="{79734483-2583-4B4A-8828-0D8E43E36611}"/>
  <bookViews>
    <workbookView xWindow="-108" yWindow="-108" windowWidth="23256" windowHeight="12456" tabRatio="500" xr2:uid="{00000000-000D-0000-FFFF-FFFF00000000}"/>
  </bookViews>
  <sheets>
    <sheet name="Registo_Feiras" sheetId="1" r:id="rId1"/>
    <sheet name="Resumo_Feira" sheetId="2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P64" i="1" l="1"/>
  <c r="N64" i="1"/>
  <c r="M64" i="1"/>
  <c r="P63" i="1"/>
  <c r="N63" i="1"/>
  <c r="M63" i="1"/>
  <c r="P62" i="1"/>
  <c r="N62" i="1"/>
  <c r="M62" i="1"/>
  <c r="P61" i="1"/>
  <c r="N61" i="1"/>
  <c r="M61" i="1"/>
  <c r="P60" i="1"/>
  <c r="N60" i="1"/>
  <c r="M60" i="1"/>
  <c r="P59" i="1"/>
  <c r="N59" i="1"/>
  <c r="M59" i="1"/>
  <c r="P58" i="1"/>
  <c r="N58" i="1"/>
  <c r="M58" i="1"/>
  <c r="P57" i="1"/>
  <c r="N57" i="1"/>
  <c r="M57" i="1"/>
  <c r="P56" i="1"/>
  <c r="N56" i="1"/>
  <c r="M56" i="1"/>
  <c r="P36" i="1" l="1"/>
  <c r="N36" i="1"/>
  <c r="M36" i="1"/>
  <c r="P35" i="1"/>
  <c r="N35" i="1"/>
  <c r="M35" i="1"/>
  <c r="P34" i="1"/>
  <c r="N34" i="1"/>
  <c r="M34" i="1"/>
  <c r="P33" i="1"/>
  <c r="N33" i="1"/>
  <c r="M33" i="1"/>
  <c r="P32" i="1"/>
  <c r="N32" i="1"/>
  <c r="M32" i="1"/>
  <c r="P31" i="1"/>
  <c r="N31" i="1"/>
  <c r="M31" i="1"/>
  <c r="P30" i="1"/>
  <c r="N30" i="1"/>
  <c r="M30" i="1"/>
  <c r="P55" i="1"/>
  <c r="N55" i="1"/>
  <c r="M55" i="1"/>
  <c r="P24" i="1"/>
  <c r="N24" i="1"/>
  <c r="M24" i="1"/>
  <c r="P23" i="1"/>
  <c r="N23" i="1"/>
  <c r="M23" i="1"/>
  <c r="P22" i="1"/>
  <c r="N22" i="1"/>
  <c r="M22" i="1"/>
  <c r="P21" i="1"/>
  <c r="N21" i="1"/>
  <c r="M21" i="1"/>
  <c r="P20" i="1"/>
  <c r="N20" i="1"/>
  <c r="M20" i="1"/>
  <c r="P19" i="1"/>
  <c r="N19" i="1"/>
  <c r="M19" i="1"/>
  <c r="P18" i="1"/>
  <c r="N18" i="1"/>
  <c r="M18" i="1"/>
  <c r="M50" i="1"/>
  <c r="N50" i="1"/>
  <c r="P50" i="1"/>
  <c r="P49" i="1"/>
  <c r="M49" i="1"/>
  <c r="N49" i="1"/>
  <c r="P48" i="1"/>
  <c r="N48" i="1"/>
  <c r="M48" i="1"/>
  <c r="P45" i="1"/>
  <c r="M9" i="1"/>
  <c r="M10" i="1"/>
  <c r="M8" i="1"/>
  <c r="N5" i="1"/>
  <c r="M17" i="1"/>
  <c r="B21" i="2"/>
  <c r="B20" i="2"/>
  <c r="B18" i="2"/>
  <c r="B16" i="2"/>
  <c r="B15" i="2"/>
  <c r="B14" i="2"/>
  <c r="B13" i="2"/>
  <c r="E9" i="2"/>
  <c r="E8" i="2"/>
  <c r="E7" i="2"/>
  <c r="P54" i="1"/>
  <c r="N54" i="1"/>
  <c r="M54" i="1"/>
  <c r="P53" i="1"/>
  <c r="N53" i="1"/>
  <c r="M53" i="1"/>
  <c r="P52" i="1"/>
  <c r="N52" i="1"/>
  <c r="M52" i="1"/>
  <c r="P51" i="1"/>
  <c r="N51" i="1"/>
  <c r="M51" i="1"/>
  <c r="P47" i="1"/>
  <c r="N47" i="1"/>
  <c r="M47" i="1"/>
  <c r="P46" i="1"/>
  <c r="N46" i="1"/>
  <c r="M46" i="1"/>
  <c r="N45" i="1"/>
  <c r="M45" i="1"/>
  <c r="P44" i="1"/>
  <c r="N44" i="1"/>
  <c r="M44" i="1"/>
  <c r="P43" i="1"/>
  <c r="N43" i="1"/>
  <c r="M43" i="1"/>
  <c r="P42" i="1"/>
  <c r="N42" i="1"/>
  <c r="M42" i="1"/>
  <c r="P41" i="1"/>
  <c r="N41" i="1"/>
  <c r="M41" i="1"/>
  <c r="P40" i="1"/>
  <c r="N40" i="1"/>
  <c r="M40" i="1"/>
  <c r="P39" i="1"/>
  <c r="N39" i="1"/>
  <c r="M39" i="1"/>
  <c r="P38" i="1"/>
  <c r="N38" i="1"/>
  <c r="M38" i="1"/>
  <c r="P37" i="1"/>
  <c r="N37" i="1"/>
  <c r="M37" i="1"/>
  <c r="P29" i="1"/>
  <c r="N29" i="1"/>
  <c r="M29" i="1"/>
  <c r="P28" i="1"/>
  <c r="N28" i="1"/>
  <c r="M28" i="1"/>
  <c r="P27" i="1"/>
  <c r="N27" i="1"/>
  <c r="M27" i="1"/>
  <c r="P26" i="1"/>
  <c r="N26" i="1"/>
  <c r="M26" i="1"/>
  <c r="P25" i="1"/>
  <c r="N25" i="1"/>
  <c r="M25" i="1"/>
  <c r="P17" i="1"/>
  <c r="N17" i="1"/>
  <c r="P16" i="1"/>
  <c r="N16" i="1"/>
  <c r="M16" i="1"/>
  <c r="P15" i="1"/>
  <c r="N15" i="1"/>
  <c r="M15" i="1"/>
  <c r="P14" i="1"/>
  <c r="N14" i="1"/>
  <c r="M14" i="1"/>
  <c r="P13" i="1"/>
  <c r="N13" i="1"/>
  <c r="M13" i="1"/>
  <c r="P12" i="1"/>
  <c r="N12" i="1"/>
  <c r="M12" i="1"/>
  <c r="P11" i="1"/>
  <c r="N11" i="1"/>
  <c r="M11" i="1"/>
  <c r="P10" i="1"/>
  <c r="N10" i="1"/>
  <c r="P9" i="1"/>
  <c r="N9" i="1"/>
  <c r="P8" i="1"/>
  <c r="N8" i="1"/>
  <c r="P7" i="1"/>
  <c r="N7" i="1"/>
  <c r="M7" i="1"/>
  <c r="P6" i="1"/>
  <c r="N6" i="1"/>
  <c r="M6" i="1"/>
  <c r="P5" i="1"/>
  <c r="M5" i="1"/>
  <c r="P4" i="1"/>
  <c r="N4" i="1"/>
  <c r="M4" i="1"/>
  <c r="P3" i="1"/>
  <c r="N3" i="1"/>
  <c r="M3" i="1"/>
  <c r="P2" i="1"/>
  <c r="N2" i="1"/>
  <c r="M2" i="1"/>
  <c r="B17" i="2" l="1"/>
  <c r="B19" i="2"/>
</calcChain>
</file>

<file path=xl/sharedStrings.xml><?xml version="1.0" encoding="utf-8"?>
<sst xmlns="http://schemas.openxmlformats.org/spreadsheetml/2006/main" count="822" uniqueCount="200">
  <si>
    <t>Distrito</t>
  </si>
  <si>
    <t>ID
Participante</t>
  </si>
  <si>
    <t>Sexo</t>
  </si>
  <si>
    <t>% Vendido
[auto]</t>
  </si>
  <si>
    <t>Preço / Un.
(MZN)</t>
  </si>
  <si>
    <t>Vestuário</t>
  </si>
  <si>
    <t>Higiene e limpeza</t>
  </si>
  <si>
    <t>Outro</t>
  </si>
  <si>
    <t>PROJECTO FAZER PROSPERAR — RESUMO DA FEIRA COMUNITÁRIA</t>
  </si>
  <si>
    <t>Calculado automaticamente a partir de Registo_Feiras · Contribui para indicadores A4-01 · OUT1-01 · OUT3-01</t>
  </si>
  <si>
    <t>CONTRIBUIÇÃO PARA OS INDICADORES TOC — FAZER PROSPERAR</t>
  </si>
  <si>
    <t>Código</t>
  </si>
  <si>
    <t>Indicador TOC</t>
  </si>
  <si>
    <t>Nível TOC</t>
  </si>
  <si>
    <t>Como esta ficha contribui</t>
  </si>
  <si>
    <t>Valor calculado</t>
  </si>
  <si>
    <t>Meta</t>
  </si>
  <si>
    <t>Nota</t>
  </si>
  <si>
    <t>A4-01</t>
  </si>
  <si>
    <t>1 feira comunitária e evento de networking organizado</t>
  </si>
  <si>
    <t>Actividade</t>
  </si>
  <si>
    <t>Indica se a feira foi realizada: ✅ se existem registos de participantes, ⏳ se ainda não há registo. Número de participantes disponível na linha 14 do resumo.</t>
  </si>
  <si>
    <t>1 evento / 350 part.</t>
  </si>
  <si>
    <t>Confirmar com relatório administrativo do evento</t>
  </si>
  <si>
    <t>OUT1-01</t>
  </si>
  <si>
    <t>50% dos participantes aplicam habilidades em actividades de geração de renda</t>
  </si>
  <si>
    <t>Outcome 1</t>
  </si>
  <si>
    <t>% de participantes com evidência de aplicação de habilidades no negócio (col. S = 'Sim')</t>
  </si>
  <si>
    <t>50% (175 part.)</t>
  </si>
  <si>
    <t>Triangular com Ficha de Mentoria (estado do negócio) e Voz do Participante</t>
  </si>
  <si>
    <t>OUT3-01</t>
  </si>
  <si>
    <t>30% reinvestem rendimentos no negócio ou em oportunidades produtivas</t>
  </si>
  <si>
    <t>Outcome 3</t>
  </si>
  <si>
    <t>% de participantes que estabeleceram novas ligações de mercado na feira (col. R = 'Sim')</t>
  </si>
  <si>
    <t>30% (105 part.)</t>
  </si>
  <si>
    <t>Proxy de reinvestimento — triangular com Ficha de Mentoria (stock e códigos DIV/GEST)</t>
  </si>
  <si>
    <t>TOTAIS GERAIS</t>
  </si>
  <si>
    <t>Indicador operacional</t>
  </si>
  <si>
    <t>Resultado</t>
  </si>
  <si>
    <t>Total de linhas preenchidas (registos produto × participante)</t>
  </si>
  <si>
    <t>Total de participantes únicos na feira</t>
  </si>
  <si>
    <t>Conta ID únicos</t>
  </si>
  <si>
    <t>Participantes do sexo feminino</t>
  </si>
  <si>
    <t>Participantes do sexo masculino</t>
  </si>
  <si>
    <t>Valor total vendido na feira (MZN)</t>
  </si>
  <si>
    <t>Quantidade total vendida (todas as categorias)</t>
  </si>
  <si>
    <t>% média de produto vendido por participante</t>
  </si>
  <si>
    <t>Média da coluna % Vendido</t>
  </si>
  <si>
    <t>Participantes com novas ligações de mercado (OUT3-01)</t>
  </si>
  <si>
    <t>Contribui para OUT3-01</t>
  </si>
  <si>
    <t>Participantes com evidência de aplicação de habilidades (OUT1-01)</t>
  </si>
  <si>
    <t>Contribui para OUT1-01</t>
  </si>
  <si>
    <t>LEGENDA:  🟡 OUT1-01 = Outcome 1 (Inclusão Económica — aplicação de habilidades)    🟠 OUT3-01 = Outcome 3 (Reinvestimento — novas ligações de mercado)    🔵 A4-01 = Actividade 4 (realização da feira)</t>
  </si>
  <si>
    <t>Amisse Saide</t>
  </si>
  <si>
    <t>Monapo</t>
  </si>
  <si>
    <t>Monapo (Jardim Infantil/Tribuna)</t>
  </si>
  <si>
    <t>Sergio Namarrocolo</t>
  </si>
  <si>
    <r>
      <t>PRJ</t>
    </r>
    <r>
      <rPr>
        <sz val="9"/>
        <color rgb="FF000000"/>
        <rFont val="Calibri"/>
        <family val="2"/>
      </rPr>
      <t>_</t>
    </r>
    <r>
      <rPr>
        <sz val="9"/>
        <color rgb="FF000000"/>
        <rFont val="Arial"/>
        <family val="2"/>
      </rPr>
      <t>0472</t>
    </r>
  </si>
  <si>
    <t>24.06.2026</t>
  </si>
  <si>
    <t>Masculino</t>
  </si>
  <si>
    <t>MESEREPANE</t>
  </si>
  <si>
    <t>Venda de Galinhas</t>
  </si>
  <si>
    <t>Sim</t>
  </si>
  <si>
    <t>Sim — negócio em funcionamento</t>
  </si>
  <si>
    <t xml:space="preserve">O negocio tem muita aderencia </t>
  </si>
  <si>
    <r>
      <t>PRJ</t>
    </r>
    <r>
      <rPr>
        <sz val="9"/>
        <color rgb="FF000000"/>
        <rFont val="Calibri"/>
        <family val="2"/>
      </rPr>
      <t>_</t>
    </r>
    <r>
      <rPr>
        <sz val="9"/>
        <color rgb="FF000000"/>
        <rFont val="Arial"/>
        <family val="2"/>
      </rPr>
      <t>0487</t>
    </r>
  </si>
  <si>
    <t>Adelino Anacleto</t>
  </si>
  <si>
    <t>Alim. não perecível (revenda)</t>
  </si>
  <si>
    <t>Doce de Amendoim</t>
  </si>
  <si>
    <t>Não</t>
  </si>
  <si>
    <t>Sim — novo produto/serviço</t>
  </si>
  <si>
    <t>ainda em fase de evolucao</t>
  </si>
  <si>
    <r>
      <t>PRJ</t>
    </r>
    <r>
      <rPr>
        <sz val="9"/>
        <color rgb="FF000000"/>
        <rFont val="Calibri"/>
        <family val="2"/>
      </rPr>
      <t>_</t>
    </r>
    <r>
      <rPr>
        <sz val="9"/>
        <color rgb="FF000000"/>
        <rFont val="Arial"/>
        <family val="2"/>
      </rPr>
      <t>0533</t>
    </r>
  </si>
  <si>
    <t>Claudia Matano</t>
  </si>
  <si>
    <t>Feminino</t>
  </si>
  <si>
    <t>Bolinho (PUTO)</t>
  </si>
  <si>
    <r>
      <t>PRJ</t>
    </r>
    <r>
      <rPr>
        <sz val="9"/>
        <color rgb="FF000000"/>
        <rFont val="Calibri"/>
        <family val="2"/>
      </rPr>
      <t>_</t>
    </r>
    <r>
      <rPr>
        <sz val="9"/>
        <color rgb="FF000000"/>
        <rFont val="Arial"/>
        <family val="2"/>
      </rPr>
      <t>0341</t>
    </r>
  </si>
  <si>
    <t>Luisa Armando</t>
  </si>
  <si>
    <t>Produção própria / Machamba</t>
  </si>
  <si>
    <t>Cana de Cucar</t>
  </si>
  <si>
    <t>Otilia Antonio Passiel</t>
  </si>
  <si>
    <t>Alex Pinto Amade</t>
  </si>
  <si>
    <t>Topelane 2</t>
  </si>
  <si>
    <t>Agente de Moeda electronica</t>
  </si>
  <si>
    <r>
      <t>PRJ</t>
    </r>
    <r>
      <rPr>
        <sz val="9"/>
        <color rgb="FF000000"/>
        <rFont val="Calibri"/>
        <family val="2"/>
      </rPr>
      <t>_</t>
    </r>
    <r>
      <rPr>
        <sz val="9"/>
        <color rgb="FF000000"/>
        <rFont val="Arial"/>
        <family val="2"/>
      </rPr>
      <t>0361</t>
    </r>
  </si>
  <si>
    <t>monapo (Jardim Infantil/Tribuna)</t>
  </si>
  <si>
    <t>Arlinda Jacobe Bernardo</t>
  </si>
  <si>
    <r>
      <t>PRJ</t>
    </r>
    <r>
      <rPr>
        <sz val="9"/>
        <color rgb="FF000000"/>
        <rFont val="Calibri"/>
        <family val="2"/>
      </rPr>
      <t>_</t>
    </r>
    <r>
      <rPr>
        <sz val="9"/>
        <color rgb="FF000000"/>
        <rFont val="Arial"/>
        <family val="2"/>
      </rPr>
      <t>0353</t>
    </r>
  </si>
  <si>
    <t>Alim. perecível (revenda)</t>
  </si>
  <si>
    <t>Repolho</t>
  </si>
  <si>
    <t>Pimento</t>
  </si>
  <si>
    <t>Tomate</t>
  </si>
  <si>
    <t>Nicuse</t>
  </si>
  <si>
    <t xml:space="preserve">Coco </t>
  </si>
  <si>
    <t xml:space="preserve">Limao </t>
  </si>
  <si>
    <t>Cebola</t>
  </si>
  <si>
    <t>Massa tomate</t>
  </si>
  <si>
    <t>Caldo</t>
  </si>
  <si>
    <t>PRJ_0406</t>
  </si>
  <si>
    <t>Lina Fernando</t>
  </si>
  <si>
    <t>Micolene</t>
  </si>
  <si>
    <t>Alim. confeccionado/preparado</t>
  </si>
  <si>
    <t xml:space="preserve">Bolinho Frito </t>
  </si>
  <si>
    <t>Zito Rufino</t>
  </si>
  <si>
    <t>28 de Setembro</t>
  </si>
  <si>
    <t>Batata reno</t>
  </si>
  <si>
    <t>PRJ_0380</t>
  </si>
  <si>
    <t>PRJ_0381</t>
  </si>
  <si>
    <t>OMO</t>
  </si>
  <si>
    <t>Bolachas</t>
  </si>
  <si>
    <t>Tomas Nhampa</t>
  </si>
  <si>
    <t xml:space="preserve">Menia Januario </t>
  </si>
  <si>
    <t>PRJ_0563</t>
  </si>
  <si>
    <t>Muelege</t>
  </si>
  <si>
    <t>Banana</t>
  </si>
  <si>
    <t>Laranja</t>
  </si>
  <si>
    <t>Mandioca</t>
  </si>
  <si>
    <t>Amendoim</t>
  </si>
  <si>
    <t>Esperança Almeida Antonio</t>
  </si>
  <si>
    <t>PRJ_0590</t>
  </si>
  <si>
    <t>Sabao</t>
  </si>
  <si>
    <t>Feijao Cute</t>
  </si>
  <si>
    <t>Maria Julio Siprianoo</t>
  </si>
  <si>
    <t xml:space="preserve">Santinho Jeremias </t>
  </si>
  <si>
    <t>PRJ_0601</t>
  </si>
  <si>
    <t>PRJ_0453</t>
  </si>
  <si>
    <t>Ramiane</t>
  </si>
  <si>
    <t>Luisa Casimiro</t>
  </si>
  <si>
    <t>Lina Mario</t>
  </si>
  <si>
    <t>PRJ_0575</t>
  </si>
  <si>
    <t>PRJ_0587</t>
  </si>
  <si>
    <t>Badjias</t>
  </si>
  <si>
    <t>Rofadas</t>
  </si>
  <si>
    <t>Chinelos</t>
  </si>
  <si>
    <t>Costa Marques</t>
  </si>
  <si>
    <t xml:space="preserve">Catia Caitano </t>
  </si>
  <si>
    <t>Camiseta</t>
  </si>
  <si>
    <t>Vestidos</t>
  </si>
  <si>
    <t>Blusas</t>
  </si>
  <si>
    <t>Perfumes</t>
  </si>
  <si>
    <t>Amina Jaime</t>
  </si>
  <si>
    <t>Ana Carlos</t>
  </si>
  <si>
    <t>PRJ_0560</t>
  </si>
  <si>
    <t>PRJ_0622</t>
  </si>
  <si>
    <t>Pomada</t>
  </si>
  <si>
    <t xml:space="preserve">Sacolas </t>
  </si>
  <si>
    <t xml:space="preserve">Paulo Alexandre </t>
  </si>
  <si>
    <t>Sualehe Rafael</t>
  </si>
  <si>
    <t>PRJ_0583</t>
  </si>
  <si>
    <t>Alberto Antonio Trinta Mujua</t>
  </si>
  <si>
    <t>PRJ_0368</t>
  </si>
  <si>
    <t>Saias</t>
  </si>
  <si>
    <t>Calçoes</t>
  </si>
  <si>
    <t>Gelo</t>
  </si>
  <si>
    <t>Frozy</t>
  </si>
  <si>
    <t>Bolinhos</t>
  </si>
  <si>
    <t>Paes</t>
  </si>
  <si>
    <t>Maheu</t>
  </si>
  <si>
    <t>Puto</t>
  </si>
  <si>
    <t>Jackson Pinto</t>
  </si>
  <si>
    <t>Agente E-Mola</t>
  </si>
  <si>
    <t>Berta Hibraimo</t>
  </si>
  <si>
    <t>Maimuna Sumaila Assumane</t>
  </si>
  <si>
    <t xml:space="preserve">Regina Bartolomeu </t>
  </si>
  <si>
    <t>PRJ_0373</t>
  </si>
  <si>
    <t>PRJ_0499</t>
  </si>
  <si>
    <t>PRJ_0407</t>
  </si>
  <si>
    <t>PRJ_0350</t>
  </si>
  <si>
    <t>PRJ_0405</t>
  </si>
  <si>
    <t>Zito Josias</t>
  </si>
  <si>
    <t>PRJ_0366</t>
  </si>
  <si>
    <t>Tauancha Joao Carlos</t>
  </si>
  <si>
    <t>Monapo Rio</t>
  </si>
  <si>
    <t>Fogao de 1 boca</t>
  </si>
  <si>
    <t>Outros ficaram de encomendar de acordo com as suas preferências</t>
  </si>
  <si>
    <t>Fogao de 2 bocas</t>
  </si>
  <si>
    <t>PRJ_0626</t>
  </si>
  <si>
    <t>Lucinda Mendes Martins</t>
  </si>
  <si>
    <t>PRJ_0356</t>
  </si>
  <si>
    <t>Tercia Saraiva Omar</t>
  </si>
  <si>
    <t>Vela</t>
  </si>
  <si>
    <t>Correntinha</t>
  </si>
  <si>
    <t xml:space="preserve">Gosolina </t>
  </si>
  <si>
    <t>Vedante</t>
  </si>
  <si>
    <t xml:space="preserve">Rolamento </t>
  </si>
  <si>
    <t>Valvulas</t>
  </si>
  <si>
    <t>Data_Feira</t>
  </si>
  <si>
    <t>Local_Feira</t>
  </si>
  <si>
    <t>Facilitador</t>
  </si>
  <si>
    <t>Nome_Participante</t>
  </si>
  <si>
    <t xml:space="preserve">Comunidade </t>
  </si>
  <si>
    <t>Categoria_Produto</t>
  </si>
  <si>
    <t>Produto_Descrição</t>
  </si>
  <si>
    <t>Qtd_Inicial_Kg_Un</t>
  </si>
  <si>
    <t>Qtd_Vendida_Kg _Un</t>
  </si>
  <si>
    <t>Qtd_Não_Vendida</t>
  </si>
  <si>
    <t>Valor_Total_Vendido_MZN</t>
  </si>
  <si>
    <t>Estabeleceu_novos_contactos_ligações_de_mercado?_OUT3_01</t>
  </si>
  <si>
    <t>Evidência de aplicação_de habilidades_no_negócio?_OUT1_01</t>
  </si>
  <si>
    <t>Observações_Descrição_das_novas_oportunidades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</si>
</sst>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theme="1"/>
      <name val="Calibri"/>
      <family val="2"/>
      <charset val="1"/>
    </font>
    <font>
      <b/>
      <sz val="13"/>
      <color rgb="FFFFFFFF"/>
      <name val="Arial"/>
      <family val="2"/>
    </font>
    <font>
      <i/>
      <sz val="9"/>
      <color rgb="FFFFFFFF"/>
      <name val="Arial"/>
      <family val="2"/>
    </font>
    <font>
      <b/>
      <sz val="9"/>
      <color rgb="FFFFFFFF"/>
      <name val="Arial"/>
      <family val="2"/>
    </font>
    <font>
      <sz val="9"/>
      <color rgb="FF000000"/>
      <name val="Arial"/>
      <family val="2"/>
    </font>
    <font>
      <i/>
      <sz val="8"/>
      <color rgb="FF000000"/>
      <name val="Arial"/>
      <family val="2"/>
    </font>
    <font>
      <b/>
      <sz val="10"/>
      <color rgb="FFFFFFFF"/>
      <name val="Arial"/>
      <family val="2"/>
    </font>
    <font>
      <b/>
      <sz val="9"/>
      <color rgb="FF000000"/>
      <name val="Arial"/>
      <family val="2"/>
    </font>
    <font>
      <b/>
      <sz val="9"/>
      <name val="Arial"/>
      <family val="2"/>
    </font>
    <font>
      <sz val="9"/>
      <color rgb="FF000000"/>
      <name val="Calibri"/>
      <family val="2"/>
    </font>
    <font>
      <sz val="8"/>
      <name val="Calibri"/>
      <family val="2"/>
      <charset val="1"/>
    </font>
  </fonts>
  <fills count="13">
    <fill>
      <patternFill patternType="none"/>
    </fill>
    <fill>
      <patternFill patternType="gray125"/>
    </fill>
    <fill>
      <patternFill patternType="solid">
        <fgColor rgb="FF1B3A4B"/>
        <bgColor rgb="FF154360"/>
      </patternFill>
    </fill>
    <fill>
      <patternFill patternType="solid">
        <fgColor rgb="FF2E6DA4"/>
        <bgColor rgb="FF3366FF"/>
      </patternFill>
    </fill>
    <fill>
      <patternFill patternType="solid">
        <fgColor rgb="FF154360"/>
        <bgColor rgb="FF1B3A4B"/>
      </patternFill>
    </fill>
    <fill>
      <patternFill patternType="solid">
        <fgColor rgb="FFEBF5FB"/>
        <bgColor rgb="FFEAF2FF"/>
      </patternFill>
    </fill>
    <fill>
      <patternFill patternType="solid">
        <fgColor rgb="FFD5F5E3"/>
        <bgColor rgb="FFD6EAF8"/>
      </patternFill>
    </fill>
    <fill>
      <patternFill patternType="solid">
        <fgColor rgb="FFFDF2E9"/>
        <bgColor rgb="FFFEF9E7"/>
      </patternFill>
    </fill>
    <fill>
      <patternFill patternType="solid">
        <fgColor rgb="FFFEF9E7"/>
        <bgColor rgb="FFFDF2E9"/>
      </patternFill>
    </fill>
    <fill>
      <patternFill patternType="solid">
        <fgColor rgb="FFFAFAFA"/>
        <bgColor rgb="FFF8F9FA"/>
      </patternFill>
    </fill>
    <fill>
      <patternFill patternType="solid">
        <fgColor rgb="FFEAF2FF"/>
        <bgColor rgb="FFEBF5FB"/>
      </patternFill>
    </fill>
    <fill>
      <patternFill patternType="solid">
        <fgColor rgb="FFD6EAF8"/>
        <bgColor rgb="FFD5F5E3"/>
      </patternFill>
    </fill>
    <fill>
      <patternFill patternType="solid">
        <fgColor rgb="FFF8F9FA"/>
        <bgColor rgb="FFFAFAFA"/>
      </patternFill>
    </fill>
  </fills>
  <borders count="2">
    <border>
      <left/>
      <right/>
      <top/>
      <bottom/>
      <diagonal/>
    </border>
    <border>
      <left style="thin">
        <color rgb="FFBDBDBD"/>
      </left>
      <right style="thin">
        <color rgb="FFBDBDBD"/>
      </right>
      <top style="thin">
        <color rgb="FFBDBDBD"/>
      </top>
      <bottom style="thin">
        <color rgb="FFBDBDBD"/>
      </bottom>
      <diagonal/>
    </border>
  </borders>
  <cellStyleXfs count="1">
    <xf numFmtId="0" fontId="0" fillId="0" borderId="0"/>
  </cellStyleXfs>
  <cellXfs count="45">
    <xf numFmtId="0" fontId="0" fillId="0" borderId="0" xfId="0"/>
    <xf numFmtId="0" fontId="3" fillId="4" borderId="1" xfId="0" applyFont="1" applyFill="1" applyBorder="1" applyAlignment="1">
      <alignment horizontal="center" vertical="center" wrapText="1"/>
    </xf>
    <xf numFmtId="0" fontId="4" fillId="5" borderId="1" xfId="0" applyFont="1" applyFill="1" applyBorder="1" applyAlignment="1">
      <alignment horizontal="left" vertical="center"/>
    </xf>
    <xf numFmtId="0" fontId="4" fillId="6" borderId="1" xfId="0" applyFont="1" applyFill="1" applyBorder="1" applyAlignment="1">
      <alignment horizontal="center" vertical="center"/>
    </xf>
    <xf numFmtId="9" fontId="4" fillId="6" borderId="1" xfId="0" applyNumberFormat="1" applyFont="1" applyFill="1" applyBorder="1" applyAlignment="1">
      <alignment horizontal="center" vertical="center"/>
    </xf>
    <xf numFmtId="3" fontId="4" fillId="6" borderId="1" xfId="0" applyNumberFormat="1" applyFont="1" applyFill="1" applyBorder="1" applyAlignment="1">
      <alignment horizontal="center" vertical="center"/>
    </xf>
    <xf numFmtId="0" fontId="4" fillId="7" borderId="1" xfId="0" applyFont="1" applyFill="1" applyBorder="1" applyAlignment="1">
      <alignment horizontal="left" vertical="center"/>
    </xf>
    <xf numFmtId="0" fontId="4" fillId="8" borderId="1" xfId="0" applyFont="1" applyFill="1" applyBorder="1" applyAlignment="1">
      <alignment horizontal="left" vertical="center"/>
    </xf>
    <xf numFmtId="0" fontId="4" fillId="5" borderId="1" xfId="0" applyFont="1" applyFill="1" applyBorder="1" applyAlignment="1">
      <alignment horizontal="left" vertical="center" wrapText="1"/>
    </xf>
    <xf numFmtId="0" fontId="4" fillId="9" borderId="1" xfId="0" applyFont="1" applyFill="1" applyBorder="1" applyAlignment="1">
      <alignment horizontal="left" vertical="center"/>
    </xf>
    <xf numFmtId="0" fontId="4" fillId="9" borderId="1" xfId="0" applyFont="1" applyFill="1" applyBorder="1" applyAlignment="1">
      <alignment horizontal="left"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7" fillId="10" borderId="1" xfId="0" applyFont="1" applyFill="1" applyBorder="1" applyAlignment="1">
      <alignment horizontal="left" vertical="center"/>
    </xf>
    <xf numFmtId="0" fontId="4" fillId="10" borderId="1" xfId="0" applyFont="1" applyFill="1" applyBorder="1" applyAlignment="1">
      <alignment horizontal="left" vertical="center" wrapText="1"/>
    </xf>
    <xf numFmtId="0" fontId="4" fillId="10" borderId="1" xfId="0" applyFont="1" applyFill="1" applyBorder="1" applyAlignment="1">
      <alignment horizontal="center" vertical="center"/>
    </xf>
    <xf numFmtId="0" fontId="8" fillId="10" borderId="1" xfId="0" applyFont="1" applyFill="1" applyBorder="1" applyAlignment="1">
      <alignment horizontal="center" vertical="center"/>
    </xf>
    <xf numFmtId="0" fontId="5" fillId="10" borderId="1" xfId="0" applyFont="1" applyFill="1" applyBorder="1" applyAlignment="1">
      <alignment horizontal="left" vertical="center" wrapText="1"/>
    </xf>
    <xf numFmtId="0" fontId="7" fillId="8" borderId="1" xfId="0" applyFont="1" applyFill="1" applyBorder="1" applyAlignment="1">
      <alignment horizontal="left" vertical="center"/>
    </xf>
    <xf numFmtId="0" fontId="4" fillId="8" borderId="1" xfId="0" applyFont="1" applyFill="1" applyBorder="1" applyAlignment="1">
      <alignment horizontal="left" vertical="center" wrapText="1"/>
    </xf>
    <xf numFmtId="0" fontId="4" fillId="8" borderId="1" xfId="0" applyFont="1" applyFill="1" applyBorder="1" applyAlignment="1">
      <alignment horizontal="center" vertical="center"/>
    </xf>
    <xf numFmtId="9" fontId="7" fillId="8" borderId="1" xfId="0" applyNumberFormat="1" applyFont="1" applyFill="1" applyBorder="1" applyAlignment="1">
      <alignment horizontal="center" vertical="center"/>
    </xf>
    <xf numFmtId="0" fontId="5" fillId="8" borderId="1" xfId="0" applyFont="1" applyFill="1" applyBorder="1" applyAlignment="1">
      <alignment horizontal="left" vertical="center" wrapText="1"/>
    </xf>
    <xf numFmtId="0" fontId="7" fillId="7" borderId="1" xfId="0" applyFont="1" applyFill="1" applyBorder="1" applyAlignment="1">
      <alignment horizontal="left" vertical="center"/>
    </xf>
    <xf numFmtId="0" fontId="4" fillId="7" borderId="1" xfId="0" applyFont="1" applyFill="1" applyBorder="1" applyAlignment="1">
      <alignment horizontal="left" vertical="center" wrapText="1"/>
    </xf>
    <xf numFmtId="0" fontId="4" fillId="7" borderId="1" xfId="0" applyFont="1" applyFill="1" applyBorder="1" applyAlignment="1">
      <alignment horizontal="center" vertical="center"/>
    </xf>
    <xf numFmtId="9" fontId="7" fillId="7" borderId="1" xfId="0" applyNumberFormat="1" applyFont="1" applyFill="1" applyBorder="1" applyAlignment="1">
      <alignment horizontal="center" vertical="center"/>
    </xf>
    <xf numFmtId="0" fontId="5" fillId="7" borderId="1" xfId="0" applyFont="1" applyFill="1" applyBorder="1" applyAlignment="1">
      <alignment horizontal="left" vertical="center" wrapText="1"/>
    </xf>
    <xf numFmtId="0" fontId="3" fillId="3" borderId="1" xfId="0" applyFont="1" applyFill="1" applyBorder="1" applyAlignment="1">
      <alignment horizontal="center" vertical="center" wrapText="1"/>
    </xf>
    <xf numFmtId="0" fontId="7" fillId="9" borderId="1" xfId="0" applyFont="1" applyFill="1" applyBorder="1" applyAlignment="1">
      <alignment horizontal="center" vertical="center"/>
    </xf>
    <xf numFmtId="0" fontId="5" fillId="9" borderId="1" xfId="0" applyFont="1" applyFill="1" applyBorder="1" applyAlignment="1">
      <alignment horizontal="left" vertical="center"/>
    </xf>
    <xf numFmtId="0" fontId="4" fillId="11" borderId="1" xfId="0" applyFont="1" applyFill="1" applyBorder="1" applyAlignment="1">
      <alignment horizontal="left" vertical="center"/>
    </xf>
    <xf numFmtId="3" fontId="7" fillId="11" borderId="1" xfId="0" applyNumberFormat="1" applyFont="1" applyFill="1" applyBorder="1" applyAlignment="1">
      <alignment horizontal="center" vertical="center"/>
    </xf>
    <xf numFmtId="0" fontId="5" fillId="11" borderId="1" xfId="0" applyFont="1" applyFill="1" applyBorder="1" applyAlignment="1">
      <alignment horizontal="left" vertical="center"/>
    </xf>
    <xf numFmtId="0" fontId="7" fillId="11" borderId="1" xfId="0" applyFont="1" applyFill="1" applyBorder="1" applyAlignment="1">
      <alignment horizontal="center" vertical="center"/>
    </xf>
    <xf numFmtId="9" fontId="7" fillId="11" borderId="1" xfId="0" applyNumberFormat="1" applyFont="1" applyFill="1" applyBorder="1" applyAlignment="1">
      <alignment horizontal="center" vertical="center"/>
    </xf>
    <xf numFmtId="0" fontId="7" fillId="7" borderId="1" xfId="0" applyFont="1" applyFill="1" applyBorder="1" applyAlignment="1">
      <alignment horizontal="center" vertical="center"/>
    </xf>
    <xf numFmtId="0" fontId="5" fillId="7" borderId="1" xfId="0" applyFont="1" applyFill="1" applyBorder="1" applyAlignment="1">
      <alignment horizontal="left" vertical="center"/>
    </xf>
    <xf numFmtId="0" fontId="7" fillId="8" borderId="1" xfId="0" applyFont="1" applyFill="1" applyBorder="1" applyAlignment="1">
      <alignment horizontal="center" vertical="center"/>
    </xf>
    <xf numFmtId="0" fontId="5" fillId="8" borderId="1" xfId="0" applyFont="1" applyFill="1" applyBorder="1" applyAlignment="1">
      <alignment horizontal="left" vertical="center"/>
    </xf>
    <xf numFmtId="3" fontId="4" fillId="5" borderId="1" xfId="0" applyNumberFormat="1" applyFont="1" applyFill="1" applyBorder="1" applyAlignment="1">
      <alignment horizontal="left" vertical="center"/>
    </xf>
    <xf numFmtId="14" fontId="4" fillId="5" borderId="1" xfId="0" applyNumberFormat="1" applyFont="1" applyFill="1" applyBorder="1" applyAlignment="1">
      <alignment horizontal="left" vertical="center"/>
    </xf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6" fillId="4" borderId="0" xfId="0" applyFont="1" applyFill="1" applyAlignment="1">
      <alignment horizontal="left" vertical="center"/>
    </xf>
    <xf numFmtId="0" fontId="5" fillId="12" borderId="0" xfId="0" applyFont="1" applyFill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DFEFE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DBDBD"/>
      <rgbColor rgb="FF808080"/>
      <rgbColor rgb="FF9999FF"/>
      <rgbColor rgb="FF993366"/>
      <rgbColor rgb="FFFEF9E7"/>
      <rgbColor rgb="FFD6EAF8"/>
      <rgbColor rgb="FF660066"/>
      <rgbColor rgb="FFFF8080"/>
      <rgbColor rgb="FF2E6DA4"/>
      <rgbColor rgb="FFEAF2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9F7EF"/>
      <rgbColor rgb="FFD5F5E3"/>
      <rgbColor rgb="FFFDF2E9"/>
      <rgbColor rgb="FFEBF5FB"/>
      <rgbColor rgb="FFF8F9FA"/>
      <rgbColor rgb="FFFAFAFA"/>
      <rgbColor rgb="FFF5F5F5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54360"/>
      <rgbColor rgb="FF1E8449"/>
      <rgbColor rgb="FF003300"/>
      <rgbColor rgb="FF333300"/>
      <rgbColor rgb="FF993300"/>
      <rgbColor rgb="FF993366"/>
      <rgbColor rgb="FF333399"/>
      <rgbColor rgb="FF1B3A4B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1B3A4B"/>
  </sheetPr>
  <dimension ref="A1:S64"/>
  <sheetViews>
    <sheetView showGridLines="0" tabSelected="1" topLeftCell="F1" zoomScaleNormal="100" workbookViewId="0">
      <pane ySplit="1" topLeftCell="A2" activePane="bottomLeft" state="frozen"/>
      <selection pane="bottomLeft" sqref="A1:A1048576"/>
    </sheetView>
  </sheetViews>
  <sheetFormatPr defaultColWidth="8.5546875" defaultRowHeight="14.4" x14ac:dyDescent="0.3"/>
  <cols>
    <col min="1" max="1" width="32" customWidth="1"/>
    <col min="2" max="2" width="12" customWidth="1"/>
    <col min="3" max="3" width="23.77734375" customWidth="1"/>
    <col min="4" max="4" width="19.33203125" customWidth="1"/>
    <col min="5" max="5" width="12" customWidth="1"/>
    <col min="6" max="6" width="20" customWidth="1"/>
    <col min="7" max="7" width="8" customWidth="1"/>
    <col min="8" max="8" width="16" customWidth="1"/>
    <col min="9" max="9" width="21.77734375" customWidth="1"/>
    <col min="10" max="10" width="21.88671875" customWidth="1"/>
    <col min="11" max="13" width="11" customWidth="1"/>
    <col min="14" max="14" width="9" customWidth="1"/>
    <col min="15" max="15" width="11" customWidth="1"/>
    <col min="16" max="16" width="14" customWidth="1"/>
    <col min="17" max="17" width="16" customWidth="1"/>
    <col min="18" max="18" width="25.88671875" customWidth="1"/>
    <col min="19" max="19" width="28" customWidth="1"/>
  </cols>
  <sheetData>
    <row r="1" spans="1:19" ht="43.5" customHeight="1" x14ac:dyDescent="0.3">
      <c r="A1" s="1" t="s">
        <v>186</v>
      </c>
      <c r="B1" s="1" t="s">
        <v>0</v>
      </c>
      <c r="C1" s="1" t="s">
        <v>187</v>
      </c>
      <c r="D1" s="1" t="s">
        <v>188</v>
      </c>
      <c r="E1" s="1" t="s">
        <v>1</v>
      </c>
      <c r="F1" s="1" t="s">
        <v>189</v>
      </c>
      <c r="G1" s="1" t="s">
        <v>2</v>
      </c>
      <c r="H1" s="1" t="s">
        <v>190</v>
      </c>
      <c r="I1" s="1" t="s">
        <v>191</v>
      </c>
      <c r="J1" s="1" t="s">
        <v>192</v>
      </c>
      <c r="K1" s="1" t="s">
        <v>193</v>
      </c>
      <c r="L1" s="1" t="s">
        <v>194</v>
      </c>
      <c r="M1" s="1" t="s">
        <v>195</v>
      </c>
      <c r="N1" s="1" t="s">
        <v>3</v>
      </c>
      <c r="O1" s="1" t="s">
        <v>4</v>
      </c>
      <c r="P1" s="1" t="s">
        <v>196</v>
      </c>
      <c r="Q1" s="1" t="s">
        <v>197</v>
      </c>
      <c r="R1" s="1" t="s">
        <v>198</v>
      </c>
      <c r="S1" s="1" t="s">
        <v>199</v>
      </c>
    </row>
    <row r="2" spans="1:19" ht="13.5" customHeight="1" x14ac:dyDescent="0.3">
      <c r="A2" s="2" t="s">
        <v>58</v>
      </c>
      <c r="B2" s="2" t="s">
        <v>54</v>
      </c>
      <c r="C2" s="2" t="s">
        <v>55</v>
      </c>
      <c r="D2" s="2" t="s">
        <v>56</v>
      </c>
      <c r="E2" s="2" t="s">
        <v>57</v>
      </c>
      <c r="F2" s="2" t="s">
        <v>53</v>
      </c>
      <c r="G2" s="2" t="s">
        <v>59</v>
      </c>
      <c r="H2" s="2" t="s">
        <v>60</v>
      </c>
      <c r="I2" s="2" t="s">
        <v>7</v>
      </c>
      <c r="J2" s="2" t="s">
        <v>61</v>
      </c>
      <c r="K2" s="2">
        <v>5</v>
      </c>
      <c r="L2" s="2">
        <v>5</v>
      </c>
      <c r="M2" s="3">
        <f t="shared" ref="M2:M63" si="0">IFERROR(K2-L2,"")</f>
        <v>0</v>
      </c>
      <c r="N2" s="4">
        <f t="shared" ref="N2:N63" si="1">IFERROR(L2/K2,"")</f>
        <v>1</v>
      </c>
      <c r="O2" s="2">
        <v>400</v>
      </c>
      <c r="P2" s="5">
        <f t="shared" ref="P2:P63" si="2">IFERROR(L2*O2,"")</f>
        <v>2000</v>
      </c>
      <c r="Q2" t="s">
        <v>62</v>
      </c>
      <c r="R2" s="6" t="s">
        <v>63</v>
      </c>
      <c r="S2" s="8" t="s">
        <v>64</v>
      </c>
    </row>
    <row r="3" spans="1:19" ht="13.5" customHeight="1" x14ac:dyDescent="0.3">
      <c r="A3" s="2" t="s">
        <v>58</v>
      </c>
      <c r="B3" s="2" t="s">
        <v>54</v>
      </c>
      <c r="C3" s="2" t="s">
        <v>55</v>
      </c>
      <c r="D3" s="2" t="s">
        <v>56</v>
      </c>
      <c r="E3" s="2" t="s">
        <v>57</v>
      </c>
      <c r="F3" s="2" t="s">
        <v>53</v>
      </c>
      <c r="G3" s="2" t="s">
        <v>59</v>
      </c>
      <c r="H3" s="2" t="s">
        <v>60</v>
      </c>
      <c r="I3" s="2" t="s">
        <v>7</v>
      </c>
      <c r="J3" s="2" t="s">
        <v>61</v>
      </c>
      <c r="K3" s="9">
        <v>2</v>
      </c>
      <c r="L3" s="9">
        <v>2</v>
      </c>
      <c r="M3" s="3">
        <f t="shared" si="0"/>
        <v>0</v>
      </c>
      <c r="N3" s="4">
        <f t="shared" si="1"/>
        <v>1</v>
      </c>
      <c r="O3" s="9">
        <v>450</v>
      </c>
      <c r="P3" s="5">
        <f t="shared" si="2"/>
        <v>900</v>
      </c>
      <c r="Q3" s="6" t="s">
        <v>62</v>
      </c>
      <c r="R3" s="6" t="s">
        <v>63</v>
      </c>
      <c r="S3" s="8" t="s">
        <v>64</v>
      </c>
    </row>
    <row r="4" spans="1:19" ht="13.5" customHeight="1" x14ac:dyDescent="0.3">
      <c r="A4" s="2" t="s">
        <v>58</v>
      </c>
      <c r="B4" s="2" t="s">
        <v>54</v>
      </c>
      <c r="C4" s="2" t="s">
        <v>55</v>
      </c>
      <c r="D4" s="2" t="s">
        <v>56</v>
      </c>
      <c r="E4" s="2" t="s">
        <v>57</v>
      </c>
      <c r="F4" s="2" t="s">
        <v>53</v>
      </c>
      <c r="G4" s="2" t="s">
        <v>59</v>
      </c>
      <c r="H4" s="2" t="s">
        <v>60</v>
      </c>
      <c r="I4" s="2" t="s">
        <v>7</v>
      </c>
      <c r="J4" s="2" t="s">
        <v>61</v>
      </c>
      <c r="K4" s="2">
        <v>1</v>
      </c>
      <c r="L4" s="2">
        <v>1</v>
      </c>
      <c r="M4" s="3">
        <f t="shared" si="0"/>
        <v>0</v>
      </c>
      <c r="N4" s="4">
        <f t="shared" si="1"/>
        <v>1</v>
      </c>
      <c r="O4" s="2">
        <v>330</v>
      </c>
      <c r="P4" s="5">
        <f t="shared" si="2"/>
        <v>330</v>
      </c>
      <c r="Q4" s="6" t="s">
        <v>62</v>
      </c>
      <c r="R4" s="6" t="s">
        <v>63</v>
      </c>
      <c r="S4" s="8" t="s">
        <v>64</v>
      </c>
    </row>
    <row r="5" spans="1:19" ht="13.5" customHeight="1" x14ac:dyDescent="0.3">
      <c r="A5" s="2" t="s">
        <v>58</v>
      </c>
      <c r="B5" s="2" t="s">
        <v>54</v>
      </c>
      <c r="C5" s="2" t="s">
        <v>55</v>
      </c>
      <c r="D5" s="2" t="s">
        <v>56</v>
      </c>
      <c r="E5" s="2" t="s">
        <v>65</v>
      </c>
      <c r="F5" s="9" t="s">
        <v>66</v>
      </c>
      <c r="G5" s="9" t="s">
        <v>59</v>
      </c>
      <c r="H5" s="2" t="s">
        <v>60</v>
      </c>
      <c r="I5" s="9" t="s">
        <v>67</v>
      </c>
      <c r="J5" s="9" t="s">
        <v>68</v>
      </c>
      <c r="K5" s="9">
        <v>100</v>
      </c>
      <c r="L5" s="9">
        <v>15</v>
      </c>
      <c r="M5" s="3">
        <f t="shared" si="0"/>
        <v>85</v>
      </c>
      <c r="N5" s="4">
        <f t="shared" si="1"/>
        <v>0.15</v>
      </c>
      <c r="O5" s="9">
        <v>5</v>
      </c>
      <c r="P5" s="5">
        <f t="shared" si="2"/>
        <v>75</v>
      </c>
      <c r="Q5" s="6" t="s">
        <v>69</v>
      </c>
      <c r="R5" s="7" t="s">
        <v>70</v>
      </c>
      <c r="S5" s="10" t="s">
        <v>71</v>
      </c>
    </row>
    <row r="6" spans="1:19" ht="13.5" customHeight="1" x14ac:dyDescent="0.3">
      <c r="A6" s="2" t="s">
        <v>58</v>
      </c>
      <c r="B6" s="2" t="s">
        <v>54</v>
      </c>
      <c r="C6" s="2" t="s">
        <v>55</v>
      </c>
      <c r="D6" s="2" t="s">
        <v>56</v>
      </c>
      <c r="E6" s="2" t="s">
        <v>72</v>
      </c>
      <c r="F6" s="2" t="s">
        <v>73</v>
      </c>
      <c r="G6" s="2" t="s">
        <v>74</v>
      </c>
      <c r="H6" s="2" t="s">
        <v>60</v>
      </c>
      <c r="I6" s="2" t="s">
        <v>67</v>
      </c>
      <c r="J6" s="2" t="s">
        <v>75</v>
      </c>
      <c r="K6" s="2">
        <v>250</v>
      </c>
      <c r="L6" s="2">
        <v>30</v>
      </c>
      <c r="M6" s="3">
        <f t="shared" si="0"/>
        <v>220</v>
      </c>
      <c r="N6" s="4">
        <f t="shared" si="1"/>
        <v>0.12</v>
      </c>
      <c r="O6" s="2">
        <v>5</v>
      </c>
      <c r="P6" s="5">
        <f t="shared" si="2"/>
        <v>150</v>
      </c>
      <c r="Q6" s="6" t="s">
        <v>69</v>
      </c>
      <c r="R6" s="7" t="s">
        <v>70</v>
      </c>
      <c r="S6" s="10" t="s">
        <v>71</v>
      </c>
    </row>
    <row r="7" spans="1:19" ht="13.5" customHeight="1" x14ac:dyDescent="0.3">
      <c r="A7" s="2" t="s">
        <v>58</v>
      </c>
      <c r="B7" s="2" t="s">
        <v>54</v>
      </c>
      <c r="C7" s="2" t="s">
        <v>55</v>
      </c>
      <c r="D7" s="2" t="s">
        <v>56</v>
      </c>
      <c r="E7" s="2" t="s">
        <v>76</v>
      </c>
      <c r="F7" s="9" t="s">
        <v>77</v>
      </c>
      <c r="G7" s="9" t="s">
        <v>74</v>
      </c>
      <c r="H7" s="2" t="s">
        <v>60</v>
      </c>
      <c r="I7" s="9" t="s">
        <v>78</v>
      </c>
      <c r="J7" s="9" t="s">
        <v>79</v>
      </c>
      <c r="K7" s="9">
        <v>10</v>
      </c>
      <c r="L7" s="9">
        <v>10</v>
      </c>
      <c r="M7" s="3">
        <f t="shared" si="0"/>
        <v>0</v>
      </c>
      <c r="N7" s="4">
        <f t="shared" si="1"/>
        <v>1</v>
      </c>
      <c r="O7" s="9">
        <v>10</v>
      </c>
      <c r="P7" s="5">
        <f t="shared" si="2"/>
        <v>100</v>
      </c>
      <c r="Q7" s="6" t="s">
        <v>62</v>
      </c>
      <c r="R7" s="7" t="s">
        <v>70</v>
      </c>
      <c r="S7" s="8" t="s">
        <v>64</v>
      </c>
    </row>
    <row r="8" spans="1:19" ht="13.5" customHeight="1" x14ac:dyDescent="0.3">
      <c r="A8" s="2" t="s">
        <v>58</v>
      </c>
      <c r="B8" s="2" t="s">
        <v>54</v>
      </c>
      <c r="C8" s="2" t="s">
        <v>55</v>
      </c>
      <c r="D8" s="2" t="s">
        <v>80</v>
      </c>
      <c r="E8" s="2" t="s">
        <v>84</v>
      </c>
      <c r="F8" s="2" t="s">
        <v>81</v>
      </c>
      <c r="G8" s="2" t="s">
        <v>59</v>
      </c>
      <c r="H8" s="2" t="s">
        <v>82</v>
      </c>
      <c r="I8" s="2" t="s">
        <v>7</v>
      </c>
      <c r="J8" s="2" t="s">
        <v>83</v>
      </c>
      <c r="K8" s="2">
        <v>3000</v>
      </c>
      <c r="L8" s="2">
        <v>3000</v>
      </c>
      <c r="M8" s="3">
        <f t="shared" si="0"/>
        <v>0</v>
      </c>
      <c r="N8" s="4">
        <f t="shared" si="1"/>
        <v>1</v>
      </c>
      <c r="O8" s="2">
        <v>8</v>
      </c>
      <c r="P8" s="5">
        <f t="shared" si="2"/>
        <v>24000</v>
      </c>
      <c r="Q8" s="6" t="s">
        <v>69</v>
      </c>
      <c r="R8" s="7" t="s">
        <v>63</v>
      </c>
      <c r="S8" s="8" t="s">
        <v>64</v>
      </c>
    </row>
    <row r="9" spans="1:19" ht="13.5" customHeight="1" x14ac:dyDescent="0.3">
      <c r="A9" s="9" t="s">
        <v>58</v>
      </c>
      <c r="B9" s="9" t="s">
        <v>54</v>
      </c>
      <c r="C9" s="9" t="s">
        <v>85</v>
      </c>
      <c r="D9" s="9" t="s">
        <v>80</v>
      </c>
      <c r="E9" s="9" t="s">
        <v>87</v>
      </c>
      <c r="F9" s="9" t="s">
        <v>86</v>
      </c>
      <c r="G9" s="9" t="s">
        <v>74</v>
      </c>
      <c r="H9" s="9" t="s">
        <v>82</v>
      </c>
      <c r="I9" s="9" t="s">
        <v>88</v>
      </c>
      <c r="J9" s="9" t="s">
        <v>89</v>
      </c>
      <c r="K9" s="9">
        <v>10</v>
      </c>
      <c r="L9" s="9">
        <v>9</v>
      </c>
      <c r="M9" s="3">
        <f t="shared" si="0"/>
        <v>1</v>
      </c>
      <c r="N9" s="4">
        <f t="shared" si="1"/>
        <v>0.9</v>
      </c>
      <c r="O9" s="9">
        <v>20</v>
      </c>
      <c r="P9" s="5">
        <f t="shared" si="2"/>
        <v>180</v>
      </c>
      <c r="Q9" s="6" t="s">
        <v>69</v>
      </c>
      <c r="R9" s="7" t="s">
        <v>63</v>
      </c>
      <c r="S9" s="8" t="s">
        <v>64</v>
      </c>
    </row>
    <row r="10" spans="1:19" ht="13.5" customHeight="1" x14ac:dyDescent="0.3">
      <c r="A10" s="2" t="s">
        <v>58</v>
      </c>
      <c r="B10" s="9" t="s">
        <v>54</v>
      </c>
      <c r="C10" s="9" t="s">
        <v>85</v>
      </c>
      <c r="D10" s="9" t="s">
        <v>80</v>
      </c>
      <c r="E10" s="9" t="s">
        <v>87</v>
      </c>
      <c r="F10" s="9" t="s">
        <v>86</v>
      </c>
      <c r="G10" s="9" t="s">
        <v>74</v>
      </c>
      <c r="H10" s="9" t="s">
        <v>82</v>
      </c>
      <c r="I10" s="9" t="s">
        <v>88</v>
      </c>
      <c r="J10" s="2" t="s">
        <v>90</v>
      </c>
      <c r="K10" s="2">
        <v>20</v>
      </c>
      <c r="L10" s="2">
        <v>3</v>
      </c>
      <c r="M10" s="3">
        <f t="shared" si="0"/>
        <v>17</v>
      </c>
      <c r="N10" s="4">
        <f t="shared" si="1"/>
        <v>0.15</v>
      </c>
      <c r="O10" s="2">
        <v>5</v>
      </c>
      <c r="P10" s="5">
        <f t="shared" si="2"/>
        <v>15</v>
      </c>
      <c r="Q10" s="6" t="s">
        <v>69</v>
      </c>
      <c r="R10" s="7" t="s">
        <v>63</v>
      </c>
      <c r="S10" s="8"/>
    </row>
    <row r="11" spans="1:19" ht="13.5" customHeight="1" x14ac:dyDescent="0.3">
      <c r="A11" s="2" t="s">
        <v>58</v>
      </c>
      <c r="B11" s="9" t="s">
        <v>54</v>
      </c>
      <c r="C11" s="9" t="s">
        <v>85</v>
      </c>
      <c r="D11" s="9" t="s">
        <v>80</v>
      </c>
      <c r="E11" s="9" t="s">
        <v>87</v>
      </c>
      <c r="F11" s="9" t="s">
        <v>86</v>
      </c>
      <c r="G11" s="9" t="s">
        <v>74</v>
      </c>
      <c r="H11" s="9" t="s">
        <v>82</v>
      </c>
      <c r="I11" s="9" t="s">
        <v>88</v>
      </c>
      <c r="J11" s="9" t="s">
        <v>91</v>
      </c>
      <c r="K11" s="9">
        <v>40</v>
      </c>
      <c r="L11" s="9">
        <v>2</v>
      </c>
      <c r="M11" s="3">
        <f t="shared" si="0"/>
        <v>38</v>
      </c>
      <c r="N11" s="4">
        <f t="shared" si="1"/>
        <v>0.05</v>
      </c>
      <c r="O11" s="9">
        <v>5</v>
      </c>
      <c r="P11" s="5">
        <f t="shared" si="2"/>
        <v>10</v>
      </c>
      <c r="Q11" s="6" t="s">
        <v>62</v>
      </c>
      <c r="R11" s="7" t="s">
        <v>63</v>
      </c>
      <c r="S11" s="10"/>
    </row>
    <row r="12" spans="1:19" ht="13.5" customHeight="1" x14ac:dyDescent="0.3">
      <c r="A12" s="2" t="s">
        <v>58</v>
      </c>
      <c r="B12" s="9" t="s">
        <v>54</v>
      </c>
      <c r="C12" s="9" t="s">
        <v>85</v>
      </c>
      <c r="D12" s="9" t="s">
        <v>80</v>
      </c>
      <c r="E12" s="9" t="s">
        <v>87</v>
      </c>
      <c r="F12" s="9" t="s">
        <v>86</v>
      </c>
      <c r="G12" s="9" t="s">
        <v>74</v>
      </c>
      <c r="H12" s="9" t="s">
        <v>82</v>
      </c>
      <c r="I12" s="2" t="s">
        <v>67</v>
      </c>
      <c r="J12" s="2" t="s">
        <v>92</v>
      </c>
      <c r="K12" s="2">
        <v>10</v>
      </c>
      <c r="L12" s="2">
        <v>3</v>
      </c>
      <c r="M12" s="3">
        <f t="shared" si="0"/>
        <v>7</v>
      </c>
      <c r="N12" s="4">
        <f t="shared" si="1"/>
        <v>0.3</v>
      </c>
      <c r="O12" s="2">
        <v>20</v>
      </c>
      <c r="P12" s="5">
        <f t="shared" si="2"/>
        <v>60</v>
      </c>
      <c r="Q12" s="6" t="s">
        <v>69</v>
      </c>
      <c r="R12" s="7" t="s">
        <v>63</v>
      </c>
      <c r="S12" s="8"/>
    </row>
    <row r="13" spans="1:19" ht="13.5" customHeight="1" x14ac:dyDescent="0.3">
      <c r="A13" s="2" t="s">
        <v>58</v>
      </c>
      <c r="B13" s="9" t="s">
        <v>54</v>
      </c>
      <c r="C13" s="9" t="s">
        <v>85</v>
      </c>
      <c r="D13" s="9" t="s">
        <v>80</v>
      </c>
      <c r="E13" s="9" t="s">
        <v>87</v>
      </c>
      <c r="F13" s="9" t="s">
        <v>86</v>
      </c>
      <c r="G13" s="9" t="s">
        <v>74</v>
      </c>
      <c r="H13" s="9" t="s">
        <v>82</v>
      </c>
      <c r="I13" s="9" t="s">
        <v>67</v>
      </c>
      <c r="J13" s="9" t="s">
        <v>93</v>
      </c>
      <c r="K13" s="9">
        <v>10</v>
      </c>
      <c r="L13" s="9">
        <v>2</v>
      </c>
      <c r="M13" s="3">
        <f t="shared" si="0"/>
        <v>8</v>
      </c>
      <c r="N13" s="4">
        <f t="shared" si="1"/>
        <v>0.2</v>
      </c>
      <c r="O13" s="9">
        <v>20</v>
      </c>
      <c r="P13" s="5">
        <f t="shared" si="2"/>
        <v>40</v>
      </c>
      <c r="Q13" s="6" t="s">
        <v>69</v>
      </c>
      <c r="R13" s="7" t="s">
        <v>63</v>
      </c>
      <c r="S13" s="10"/>
    </row>
    <row r="14" spans="1:19" ht="13.5" customHeight="1" x14ac:dyDescent="0.3">
      <c r="A14" s="2" t="s">
        <v>58</v>
      </c>
      <c r="B14" s="9" t="s">
        <v>54</v>
      </c>
      <c r="C14" s="9" t="s">
        <v>85</v>
      </c>
      <c r="D14" s="9" t="s">
        <v>80</v>
      </c>
      <c r="E14" s="9" t="s">
        <v>87</v>
      </c>
      <c r="F14" s="9" t="s">
        <v>86</v>
      </c>
      <c r="G14" s="9" t="s">
        <v>74</v>
      </c>
      <c r="H14" s="9" t="s">
        <v>82</v>
      </c>
      <c r="I14" s="2" t="s">
        <v>88</v>
      </c>
      <c r="J14" s="2" t="s">
        <v>94</v>
      </c>
      <c r="K14" s="2">
        <v>40</v>
      </c>
      <c r="L14" s="2">
        <v>12</v>
      </c>
      <c r="M14" s="3">
        <f t="shared" si="0"/>
        <v>28</v>
      </c>
      <c r="N14" s="4">
        <f t="shared" si="1"/>
        <v>0.3</v>
      </c>
      <c r="O14" s="2">
        <v>5</v>
      </c>
      <c r="P14" s="5">
        <f t="shared" si="2"/>
        <v>60</v>
      </c>
      <c r="Q14" s="6" t="s">
        <v>69</v>
      </c>
      <c r="R14" s="7" t="s">
        <v>63</v>
      </c>
      <c r="S14" s="8"/>
    </row>
    <row r="15" spans="1:19" ht="13.5" customHeight="1" x14ac:dyDescent="0.3">
      <c r="A15" s="2" t="s">
        <v>58</v>
      </c>
      <c r="B15" s="9" t="s">
        <v>54</v>
      </c>
      <c r="C15" s="9" t="s">
        <v>85</v>
      </c>
      <c r="D15" s="9" t="s">
        <v>80</v>
      </c>
      <c r="E15" s="9" t="s">
        <v>87</v>
      </c>
      <c r="F15" s="9" t="s">
        <v>86</v>
      </c>
      <c r="G15" s="9" t="s">
        <v>74</v>
      </c>
      <c r="H15" s="9" t="s">
        <v>82</v>
      </c>
      <c r="I15" s="9" t="s">
        <v>67</v>
      </c>
      <c r="J15" s="9" t="s">
        <v>95</v>
      </c>
      <c r="K15" s="9">
        <v>40</v>
      </c>
      <c r="L15" s="9">
        <v>40</v>
      </c>
      <c r="M15" s="3">
        <f t="shared" si="0"/>
        <v>0</v>
      </c>
      <c r="N15" s="4">
        <f t="shared" si="1"/>
        <v>1</v>
      </c>
      <c r="O15" s="9">
        <v>5</v>
      </c>
      <c r="P15" s="5">
        <f t="shared" si="2"/>
        <v>200</v>
      </c>
      <c r="Q15" s="6" t="s">
        <v>69</v>
      </c>
      <c r="R15" s="7" t="s">
        <v>63</v>
      </c>
      <c r="S15" s="10"/>
    </row>
    <row r="16" spans="1:19" ht="13.5" customHeight="1" x14ac:dyDescent="0.3">
      <c r="A16" s="2" t="s">
        <v>58</v>
      </c>
      <c r="B16" s="9" t="s">
        <v>54</v>
      </c>
      <c r="C16" s="9" t="s">
        <v>85</v>
      </c>
      <c r="D16" s="9" t="s">
        <v>80</v>
      </c>
      <c r="E16" s="9" t="s">
        <v>87</v>
      </c>
      <c r="F16" s="9" t="s">
        <v>86</v>
      </c>
      <c r="G16" s="9" t="s">
        <v>74</v>
      </c>
      <c r="H16" s="9" t="s">
        <v>82</v>
      </c>
      <c r="I16" s="2" t="s">
        <v>67</v>
      </c>
      <c r="J16" s="2" t="s">
        <v>96</v>
      </c>
      <c r="K16" s="2">
        <v>50</v>
      </c>
      <c r="L16" s="2">
        <v>0</v>
      </c>
      <c r="M16" s="3">
        <f t="shared" si="0"/>
        <v>50</v>
      </c>
      <c r="N16" s="4">
        <f t="shared" si="1"/>
        <v>0</v>
      </c>
      <c r="O16" s="2">
        <v>15</v>
      </c>
      <c r="P16" s="5">
        <f t="shared" si="2"/>
        <v>0</v>
      </c>
      <c r="Q16" s="6" t="s">
        <v>69</v>
      </c>
      <c r="R16" s="7" t="s">
        <v>63</v>
      </c>
      <c r="S16" s="8"/>
    </row>
    <row r="17" spans="1:19" ht="13.5" customHeight="1" x14ac:dyDescent="0.3">
      <c r="A17" s="2" t="s">
        <v>58</v>
      </c>
      <c r="B17" s="9" t="s">
        <v>54</v>
      </c>
      <c r="C17" s="9" t="s">
        <v>85</v>
      </c>
      <c r="D17" s="9" t="s">
        <v>80</v>
      </c>
      <c r="E17" s="9" t="s">
        <v>87</v>
      </c>
      <c r="F17" s="9" t="s">
        <v>86</v>
      </c>
      <c r="G17" s="9" t="s">
        <v>74</v>
      </c>
      <c r="H17" s="9" t="s">
        <v>82</v>
      </c>
      <c r="I17" s="9" t="s">
        <v>67</v>
      </c>
      <c r="J17" s="9" t="s">
        <v>97</v>
      </c>
      <c r="K17" s="9">
        <v>60</v>
      </c>
      <c r="L17" s="9">
        <v>0</v>
      </c>
      <c r="M17" s="3">
        <f t="shared" si="0"/>
        <v>60</v>
      </c>
      <c r="N17" s="4">
        <f t="shared" si="1"/>
        <v>0</v>
      </c>
      <c r="O17" s="9">
        <v>6</v>
      </c>
      <c r="P17" s="5">
        <f t="shared" si="2"/>
        <v>0</v>
      </c>
      <c r="Q17" s="6" t="s">
        <v>69</v>
      </c>
      <c r="R17" s="7" t="s">
        <v>63</v>
      </c>
      <c r="S17" s="10"/>
    </row>
    <row r="18" spans="1:19" ht="13.5" customHeight="1" x14ac:dyDescent="0.3">
      <c r="A18" s="2" t="s">
        <v>58</v>
      </c>
      <c r="B18" s="9" t="s">
        <v>54</v>
      </c>
      <c r="C18" s="9" t="s">
        <v>85</v>
      </c>
      <c r="D18" s="9" t="s">
        <v>134</v>
      </c>
      <c r="E18" s="2" t="s">
        <v>148</v>
      </c>
      <c r="F18" s="9" t="s">
        <v>135</v>
      </c>
      <c r="G18" s="9" t="s">
        <v>74</v>
      </c>
      <c r="H18" s="9" t="s">
        <v>82</v>
      </c>
      <c r="I18" s="9" t="s">
        <v>5</v>
      </c>
      <c r="J18" s="9" t="s">
        <v>136</v>
      </c>
      <c r="K18" s="9">
        <v>5</v>
      </c>
      <c r="L18" s="9">
        <v>1</v>
      </c>
      <c r="M18" s="3">
        <f t="shared" ref="M18:M24" si="3">IFERROR(K18-L18,"")</f>
        <v>4</v>
      </c>
      <c r="N18" s="4">
        <f t="shared" ref="N18:N24" si="4">IFERROR(L18/K18,"")</f>
        <v>0.2</v>
      </c>
      <c r="O18" s="9">
        <v>600</v>
      </c>
      <c r="P18" s="5">
        <f t="shared" ref="P18:P24" si="5">IFERROR(L18*O18,"")</f>
        <v>600</v>
      </c>
      <c r="Q18" s="6" t="s">
        <v>69</v>
      </c>
      <c r="R18" s="7" t="s">
        <v>63</v>
      </c>
      <c r="S18" s="10"/>
    </row>
    <row r="19" spans="1:19" ht="13.5" customHeight="1" x14ac:dyDescent="0.3">
      <c r="A19" s="2" t="s">
        <v>58</v>
      </c>
      <c r="B19" s="9" t="s">
        <v>54</v>
      </c>
      <c r="C19" s="9" t="s">
        <v>85</v>
      </c>
      <c r="D19" s="2" t="s">
        <v>134</v>
      </c>
      <c r="E19" s="2" t="s">
        <v>148</v>
      </c>
      <c r="F19" s="9" t="s">
        <v>135</v>
      </c>
      <c r="G19" s="2" t="s">
        <v>74</v>
      </c>
      <c r="H19" s="2" t="s">
        <v>82</v>
      </c>
      <c r="I19" s="2" t="s">
        <v>5</v>
      </c>
      <c r="J19" s="2" t="s">
        <v>137</v>
      </c>
      <c r="K19" s="2">
        <v>10</v>
      </c>
      <c r="L19" s="2">
        <v>0</v>
      </c>
      <c r="M19" s="3">
        <f t="shared" si="3"/>
        <v>10</v>
      </c>
      <c r="N19" s="4">
        <f t="shared" si="4"/>
        <v>0</v>
      </c>
      <c r="O19" s="2">
        <v>1200</v>
      </c>
      <c r="P19" s="5">
        <f t="shared" si="5"/>
        <v>0</v>
      </c>
      <c r="Q19" s="6" t="s">
        <v>69</v>
      </c>
      <c r="R19" s="7" t="s">
        <v>63</v>
      </c>
      <c r="S19" s="8"/>
    </row>
    <row r="20" spans="1:19" ht="13.5" customHeight="1" x14ac:dyDescent="0.3">
      <c r="A20" s="2" t="s">
        <v>58</v>
      </c>
      <c r="B20" s="9" t="s">
        <v>54</v>
      </c>
      <c r="C20" s="9" t="s">
        <v>85</v>
      </c>
      <c r="D20" s="9" t="s">
        <v>134</v>
      </c>
      <c r="E20" s="2" t="s">
        <v>148</v>
      </c>
      <c r="F20" s="9" t="s">
        <v>135</v>
      </c>
      <c r="G20" s="9" t="s">
        <v>74</v>
      </c>
      <c r="H20" s="9" t="s">
        <v>82</v>
      </c>
      <c r="I20" s="9" t="s">
        <v>5</v>
      </c>
      <c r="J20" s="9" t="s">
        <v>138</v>
      </c>
      <c r="K20" s="9">
        <v>10</v>
      </c>
      <c r="L20" s="9">
        <v>2</v>
      </c>
      <c r="M20" s="3">
        <f t="shared" si="3"/>
        <v>8</v>
      </c>
      <c r="N20" s="4">
        <f t="shared" si="4"/>
        <v>0.2</v>
      </c>
      <c r="O20" s="9">
        <v>700</v>
      </c>
      <c r="P20" s="5">
        <f t="shared" si="5"/>
        <v>1400</v>
      </c>
      <c r="Q20" s="6" t="s">
        <v>69</v>
      </c>
      <c r="R20" s="7" t="s">
        <v>63</v>
      </c>
      <c r="S20" s="10"/>
    </row>
    <row r="21" spans="1:19" ht="13.5" customHeight="1" x14ac:dyDescent="0.3">
      <c r="A21" s="2" t="s">
        <v>58</v>
      </c>
      <c r="B21" s="9" t="s">
        <v>54</v>
      </c>
      <c r="C21" s="9" t="s">
        <v>85</v>
      </c>
      <c r="D21" s="2" t="s">
        <v>134</v>
      </c>
      <c r="E21" s="2" t="s">
        <v>148</v>
      </c>
      <c r="F21" s="9" t="s">
        <v>135</v>
      </c>
      <c r="G21" s="2" t="s">
        <v>74</v>
      </c>
      <c r="H21" s="2" t="s">
        <v>82</v>
      </c>
      <c r="I21" s="2" t="s">
        <v>7</v>
      </c>
      <c r="J21" s="2" t="s">
        <v>139</v>
      </c>
      <c r="K21" s="2">
        <v>3</v>
      </c>
      <c r="L21" s="2">
        <v>1</v>
      </c>
      <c r="M21" s="3">
        <f t="shared" si="3"/>
        <v>2</v>
      </c>
      <c r="N21" s="4">
        <f t="shared" si="4"/>
        <v>0.33333333333333331</v>
      </c>
      <c r="O21" s="2">
        <v>400</v>
      </c>
      <c r="P21" s="5">
        <f t="shared" si="5"/>
        <v>400</v>
      </c>
      <c r="Q21" s="6" t="s">
        <v>62</v>
      </c>
      <c r="R21" s="7" t="s">
        <v>63</v>
      </c>
      <c r="S21" s="8"/>
    </row>
    <row r="22" spans="1:19" ht="13.5" customHeight="1" x14ac:dyDescent="0.3">
      <c r="A22" s="2" t="s">
        <v>58</v>
      </c>
      <c r="B22" s="9" t="s">
        <v>54</v>
      </c>
      <c r="C22" s="9" t="s">
        <v>85</v>
      </c>
      <c r="D22" s="9" t="s">
        <v>134</v>
      </c>
      <c r="E22" s="2" t="s">
        <v>150</v>
      </c>
      <c r="F22" s="9" t="s">
        <v>149</v>
      </c>
      <c r="G22" s="9" t="s">
        <v>59</v>
      </c>
      <c r="H22" s="9" t="s">
        <v>82</v>
      </c>
      <c r="I22" s="9" t="s">
        <v>6</v>
      </c>
      <c r="J22" s="9" t="s">
        <v>144</v>
      </c>
      <c r="K22" s="9">
        <v>4</v>
      </c>
      <c r="L22" s="9">
        <v>2</v>
      </c>
      <c r="M22" s="3">
        <f t="shared" si="3"/>
        <v>2</v>
      </c>
      <c r="N22" s="4">
        <f t="shared" si="4"/>
        <v>0.5</v>
      </c>
      <c r="O22" s="9">
        <v>100</v>
      </c>
      <c r="P22" s="5">
        <f t="shared" si="5"/>
        <v>200</v>
      </c>
      <c r="Q22" s="6" t="s">
        <v>69</v>
      </c>
      <c r="R22" s="7" t="s">
        <v>63</v>
      </c>
      <c r="S22" s="10"/>
    </row>
    <row r="23" spans="1:19" ht="13.5" customHeight="1" x14ac:dyDescent="0.3">
      <c r="A23" s="2" t="s">
        <v>58</v>
      </c>
      <c r="B23" s="9" t="s">
        <v>54</v>
      </c>
      <c r="C23" s="9" t="s">
        <v>85</v>
      </c>
      <c r="D23" s="9" t="s">
        <v>134</v>
      </c>
      <c r="E23" s="2" t="s">
        <v>150</v>
      </c>
      <c r="F23" s="9" t="s">
        <v>149</v>
      </c>
      <c r="G23" s="2" t="s">
        <v>59</v>
      </c>
      <c r="H23" s="2" t="s">
        <v>82</v>
      </c>
      <c r="I23" s="2" t="s">
        <v>6</v>
      </c>
      <c r="J23" s="2" t="s">
        <v>120</v>
      </c>
      <c r="K23" s="2">
        <v>2</v>
      </c>
      <c r="L23" s="2">
        <v>2</v>
      </c>
      <c r="M23" s="3">
        <f t="shared" si="3"/>
        <v>0</v>
      </c>
      <c r="N23" s="4">
        <f t="shared" si="4"/>
        <v>1</v>
      </c>
      <c r="O23" s="2">
        <v>100</v>
      </c>
      <c r="P23" s="5">
        <f t="shared" si="5"/>
        <v>200</v>
      </c>
      <c r="Q23" s="6" t="s">
        <v>69</v>
      </c>
      <c r="R23" s="7" t="s">
        <v>63</v>
      </c>
      <c r="S23" s="8"/>
    </row>
    <row r="24" spans="1:19" ht="13.5" customHeight="1" x14ac:dyDescent="0.3">
      <c r="A24" s="2" t="s">
        <v>58</v>
      </c>
      <c r="B24" s="9" t="s">
        <v>54</v>
      </c>
      <c r="C24" s="9" t="s">
        <v>85</v>
      </c>
      <c r="D24" s="9" t="s">
        <v>134</v>
      </c>
      <c r="E24" s="2" t="s">
        <v>150</v>
      </c>
      <c r="F24" s="9" t="s">
        <v>149</v>
      </c>
      <c r="G24" s="9" t="s">
        <v>59</v>
      </c>
      <c r="H24" s="9" t="s">
        <v>82</v>
      </c>
      <c r="I24" s="9" t="s">
        <v>7</v>
      </c>
      <c r="J24" s="9" t="s">
        <v>145</v>
      </c>
      <c r="K24" s="9">
        <v>6</v>
      </c>
      <c r="L24" s="9">
        <v>4</v>
      </c>
      <c r="M24" s="3">
        <f t="shared" si="3"/>
        <v>2</v>
      </c>
      <c r="N24" s="4">
        <f t="shared" si="4"/>
        <v>0.66666666666666663</v>
      </c>
      <c r="O24" s="9">
        <v>50</v>
      </c>
      <c r="P24" s="5">
        <f t="shared" si="5"/>
        <v>200</v>
      </c>
      <c r="Q24" s="6" t="s">
        <v>69</v>
      </c>
      <c r="R24" s="7" t="s">
        <v>63</v>
      </c>
      <c r="S24" s="10"/>
    </row>
    <row r="25" spans="1:19" ht="13.5" customHeight="1" x14ac:dyDescent="0.3">
      <c r="A25" s="2" t="s">
        <v>58</v>
      </c>
      <c r="B25" s="9" t="s">
        <v>54</v>
      </c>
      <c r="C25" s="9" t="s">
        <v>85</v>
      </c>
      <c r="D25" s="9" t="s">
        <v>80</v>
      </c>
      <c r="E25" s="2" t="s">
        <v>106</v>
      </c>
      <c r="F25" s="9" t="s">
        <v>103</v>
      </c>
      <c r="G25" s="9" t="s">
        <v>59</v>
      </c>
      <c r="H25" s="9" t="s">
        <v>104</v>
      </c>
      <c r="I25" s="9" t="s">
        <v>88</v>
      </c>
      <c r="J25" s="9" t="s">
        <v>105</v>
      </c>
      <c r="K25" s="9">
        <v>10</v>
      </c>
      <c r="L25" s="9">
        <v>10</v>
      </c>
      <c r="M25" s="3">
        <f t="shared" si="0"/>
        <v>0</v>
      </c>
      <c r="N25" s="4">
        <f t="shared" si="1"/>
        <v>1</v>
      </c>
      <c r="O25" s="9">
        <v>10</v>
      </c>
      <c r="P25" s="5">
        <f t="shared" si="2"/>
        <v>100</v>
      </c>
      <c r="Q25" s="6" t="s">
        <v>69</v>
      </c>
      <c r="R25" s="7" t="s">
        <v>63</v>
      </c>
      <c r="S25" s="10"/>
    </row>
    <row r="26" spans="1:19" ht="13.5" customHeight="1" x14ac:dyDescent="0.3">
      <c r="A26" s="2" t="s">
        <v>58</v>
      </c>
      <c r="B26" s="9" t="s">
        <v>54</v>
      </c>
      <c r="C26" s="9" t="s">
        <v>85</v>
      </c>
      <c r="D26" s="9" t="s">
        <v>80</v>
      </c>
      <c r="E26" s="2" t="s">
        <v>107</v>
      </c>
      <c r="F26" s="9" t="s">
        <v>103</v>
      </c>
      <c r="G26" s="9" t="s">
        <v>59</v>
      </c>
      <c r="H26" s="9" t="s">
        <v>104</v>
      </c>
      <c r="I26" s="2" t="s">
        <v>67</v>
      </c>
      <c r="J26" s="2" t="s">
        <v>95</v>
      </c>
      <c r="K26" s="2">
        <v>60</v>
      </c>
      <c r="L26" s="2">
        <v>0</v>
      </c>
      <c r="M26" s="3">
        <f t="shared" si="0"/>
        <v>60</v>
      </c>
      <c r="N26" s="4">
        <f t="shared" si="1"/>
        <v>0</v>
      </c>
      <c r="O26" s="2">
        <v>5</v>
      </c>
      <c r="P26" s="5">
        <f t="shared" si="2"/>
        <v>0</v>
      </c>
      <c r="Q26" s="6" t="s">
        <v>69</v>
      </c>
      <c r="R26" s="7" t="s">
        <v>63</v>
      </c>
      <c r="S26" s="8"/>
    </row>
    <row r="27" spans="1:19" ht="13.5" customHeight="1" x14ac:dyDescent="0.3">
      <c r="A27" s="2" t="s">
        <v>58</v>
      </c>
      <c r="B27" s="9" t="s">
        <v>54</v>
      </c>
      <c r="C27" s="9" t="s">
        <v>85</v>
      </c>
      <c r="D27" s="9" t="s">
        <v>80</v>
      </c>
      <c r="E27" s="2" t="s">
        <v>107</v>
      </c>
      <c r="F27" s="9" t="s">
        <v>103</v>
      </c>
      <c r="G27" s="9" t="s">
        <v>59</v>
      </c>
      <c r="H27" s="9" t="s">
        <v>104</v>
      </c>
      <c r="I27" s="9" t="s">
        <v>67</v>
      </c>
      <c r="J27" s="9" t="s">
        <v>97</v>
      </c>
      <c r="K27" s="9">
        <v>40</v>
      </c>
      <c r="L27" s="9">
        <v>0</v>
      </c>
      <c r="M27" s="3">
        <f t="shared" si="0"/>
        <v>40</v>
      </c>
      <c r="N27" s="4">
        <f t="shared" si="1"/>
        <v>0</v>
      </c>
      <c r="O27" s="9">
        <v>5</v>
      </c>
      <c r="P27" s="5">
        <f t="shared" si="2"/>
        <v>0</v>
      </c>
      <c r="Q27" s="6" t="s">
        <v>69</v>
      </c>
      <c r="R27" s="7" t="s">
        <v>63</v>
      </c>
      <c r="S27" s="10"/>
    </row>
    <row r="28" spans="1:19" ht="13.5" customHeight="1" x14ac:dyDescent="0.3">
      <c r="A28" s="2" t="s">
        <v>58</v>
      </c>
      <c r="B28" s="9" t="s">
        <v>54</v>
      </c>
      <c r="C28" s="9" t="s">
        <v>85</v>
      </c>
      <c r="D28" s="9" t="s">
        <v>80</v>
      </c>
      <c r="E28" s="2" t="s">
        <v>107</v>
      </c>
      <c r="F28" s="9" t="s">
        <v>103</v>
      </c>
      <c r="G28" s="9" t="s">
        <v>59</v>
      </c>
      <c r="H28" s="9" t="s">
        <v>104</v>
      </c>
      <c r="I28" s="2" t="s">
        <v>6</v>
      </c>
      <c r="J28" s="2" t="s">
        <v>108</v>
      </c>
      <c r="K28" s="2">
        <v>60</v>
      </c>
      <c r="L28" s="2">
        <v>0</v>
      </c>
      <c r="M28" s="3">
        <f t="shared" si="0"/>
        <v>60</v>
      </c>
      <c r="N28" s="4">
        <f t="shared" si="1"/>
        <v>0</v>
      </c>
      <c r="O28" s="2">
        <v>5</v>
      </c>
      <c r="P28" s="5">
        <f t="shared" si="2"/>
        <v>0</v>
      </c>
      <c r="Q28" s="6" t="s">
        <v>69</v>
      </c>
      <c r="R28" s="7" t="s">
        <v>63</v>
      </c>
      <c r="S28" s="8"/>
    </row>
    <row r="29" spans="1:19" ht="13.5" customHeight="1" x14ac:dyDescent="0.3">
      <c r="A29" s="2" t="s">
        <v>58</v>
      </c>
      <c r="B29" s="9" t="s">
        <v>54</v>
      </c>
      <c r="C29" s="9" t="s">
        <v>85</v>
      </c>
      <c r="D29" s="9" t="s">
        <v>80</v>
      </c>
      <c r="E29" s="2" t="s">
        <v>107</v>
      </c>
      <c r="F29" s="9" t="s">
        <v>103</v>
      </c>
      <c r="G29" s="9" t="s">
        <v>59</v>
      </c>
      <c r="H29" s="9" t="s">
        <v>104</v>
      </c>
      <c r="I29" s="9" t="s">
        <v>67</v>
      </c>
      <c r="J29" s="9" t="s">
        <v>109</v>
      </c>
      <c r="K29" s="9">
        <v>143</v>
      </c>
      <c r="L29" s="9">
        <v>10</v>
      </c>
      <c r="M29" s="3">
        <f t="shared" si="0"/>
        <v>133</v>
      </c>
      <c r="N29" s="4">
        <f t="shared" si="1"/>
        <v>6.9930069930069935E-2</v>
      </c>
      <c r="O29" s="9">
        <v>20</v>
      </c>
      <c r="P29" s="5">
        <f t="shared" si="2"/>
        <v>200</v>
      </c>
      <c r="Q29" s="6" t="s">
        <v>69</v>
      </c>
      <c r="R29" s="7" t="s">
        <v>63</v>
      </c>
      <c r="S29" s="10"/>
    </row>
    <row r="30" spans="1:19" ht="13.5" customHeight="1" x14ac:dyDescent="0.3">
      <c r="A30" s="2" t="s">
        <v>58</v>
      </c>
      <c r="B30" s="9" t="s">
        <v>54</v>
      </c>
      <c r="C30" s="9" t="s">
        <v>85</v>
      </c>
      <c r="D30" s="2" t="s">
        <v>146</v>
      </c>
      <c r="E30" s="2" t="s">
        <v>164</v>
      </c>
      <c r="F30" s="2" t="s">
        <v>147</v>
      </c>
      <c r="G30" s="2" t="s">
        <v>59</v>
      </c>
      <c r="H30" s="2" t="s">
        <v>104</v>
      </c>
      <c r="I30" s="2" t="s">
        <v>5</v>
      </c>
      <c r="J30" s="2" t="s">
        <v>137</v>
      </c>
      <c r="K30" s="2">
        <v>4</v>
      </c>
      <c r="L30" s="2">
        <v>0</v>
      </c>
      <c r="M30" s="3">
        <f t="shared" ref="M30:M36" si="6">IFERROR(K30-L30,"")</f>
        <v>4</v>
      </c>
      <c r="N30" s="4">
        <f t="shared" ref="N30:N36" si="7">IFERROR(L30/K30,"")</f>
        <v>0</v>
      </c>
      <c r="O30" s="2">
        <v>150</v>
      </c>
      <c r="P30" s="5">
        <f t="shared" ref="P30:P36" si="8">IFERROR(L30*O30,"")</f>
        <v>0</v>
      </c>
      <c r="Q30" s="6" t="s">
        <v>69</v>
      </c>
      <c r="R30" s="7" t="s">
        <v>63</v>
      </c>
      <c r="S30" s="8"/>
    </row>
    <row r="31" spans="1:19" ht="13.5" customHeight="1" x14ac:dyDescent="0.3">
      <c r="A31" s="2" t="s">
        <v>58</v>
      </c>
      <c r="B31" s="9" t="s">
        <v>54</v>
      </c>
      <c r="C31" s="9" t="s">
        <v>85</v>
      </c>
      <c r="D31" s="2" t="s">
        <v>146</v>
      </c>
      <c r="E31" s="2" t="s">
        <v>164</v>
      </c>
      <c r="F31" s="2" t="s">
        <v>147</v>
      </c>
      <c r="G31" s="9" t="s">
        <v>59</v>
      </c>
      <c r="H31" s="9" t="s">
        <v>104</v>
      </c>
      <c r="I31" s="9" t="s">
        <v>5</v>
      </c>
      <c r="J31" s="9" t="s">
        <v>151</v>
      </c>
      <c r="K31" s="9">
        <v>2</v>
      </c>
      <c r="L31" s="9">
        <v>0</v>
      </c>
      <c r="M31" s="3">
        <f t="shared" si="6"/>
        <v>2</v>
      </c>
      <c r="N31" s="4">
        <f t="shared" si="7"/>
        <v>0</v>
      </c>
      <c r="O31" s="9">
        <v>80</v>
      </c>
      <c r="P31" s="5">
        <f t="shared" si="8"/>
        <v>0</v>
      </c>
      <c r="Q31" s="6" t="s">
        <v>69</v>
      </c>
      <c r="R31" s="7" t="s">
        <v>63</v>
      </c>
      <c r="S31" s="10"/>
    </row>
    <row r="32" spans="1:19" ht="13.5" customHeight="1" x14ac:dyDescent="0.3">
      <c r="A32" s="2" t="s">
        <v>58</v>
      </c>
      <c r="B32" s="9" t="s">
        <v>54</v>
      </c>
      <c r="C32" s="9" t="s">
        <v>85</v>
      </c>
      <c r="D32" s="2" t="s">
        <v>146</v>
      </c>
      <c r="E32" s="2" t="s">
        <v>164</v>
      </c>
      <c r="F32" s="2" t="s">
        <v>147</v>
      </c>
      <c r="G32" s="2" t="s">
        <v>59</v>
      </c>
      <c r="H32" s="2" t="s">
        <v>104</v>
      </c>
      <c r="I32" s="2" t="s">
        <v>5</v>
      </c>
      <c r="J32" s="2" t="s">
        <v>152</v>
      </c>
      <c r="K32" s="2">
        <v>2</v>
      </c>
      <c r="L32" s="2">
        <v>0</v>
      </c>
      <c r="M32" s="3">
        <f t="shared" si="6"/>
        <v>2</v>
      </c>
      <c r="N32" s="4">
        <f t="shared" si="7"/>
        <v>0</v>
      </c>
      <c r="O32" s="2">
        <v>70</v>
      </c>
      <c r="P32" s="5">
        <f t="shared" si="8"/>
        <v>0</v>
      </c>
      <c r="Q32" s="6" t="s">
        <v>69</v>
      </c>
      <c r="R32" s="7" t="s">
        <v>63</v>
      </c>
      <c r="S32" s="8"/>
    </row>
    <row r="33" spans="1:19" ht="13.5" customHeight="1" x14ac:dyDescent="0.3">
      <c r="A33" s="2" t="s">
        <v>58</v>
      </c>
      <c r="B33" s="9" t="s">
        <v>54</v>
      </c>
      <c r="C33" s="9" t="s">
        <v>85</v>
      </c>
      <c r="D33" s="2" t="s">
        <v>146</v>
      </c>
      <c r="E33" s="2" t="s">
        <v>164</v>
      </c>
      <c r="F33" s="2" t="s">
        <v>147</v>
      </c>
      <c r="G33" s="9" t="s">
        <v>59</v>
      </c>
      <c r="H33" s="9" t="s">
        <v>104</v>
      </c>
      <c r="I33" s="9" t="s">
        <v>5</v>
      </c>
      <c r="J33" s="9" t="s">
        <v>138</v>
      </c>
      <c r="K33" s="9">
        <v>2</v>
      </c>
      <c r="L33" s="9">
        <v>0</v>
      </c>
      <c r="M33" s="3">
        <f t="shared" si="6"/>
        <v>2</v>
      </c>
      <c r="N33" s="4">
        <f t="shared" si="7"/>
        <v>0</v>
      </c>
      <c r="O33" s="9">
        <v>70</v>
      </c>
      <c r="P33" s="5">
        <f t="shared" si="8"/>
        <v>0</v>
      </c>
      <c r="Q33" s="6" t="s">
        <v>69</v>
      </c>
      <c r="R33" s="7" t="s">
        <v>63</v>
      </c>
      <c r="S33" s="10"/>
    </row>
    <row r="34" spans="1:19" ht="13.5" customHeight="1" x14ac:dyDescent="0.3">
      <c r="A34" s="2" t="s">
        <v>58</v>
      </c>
      <c r="B34" s="9" t="s">
        <v>54</v>
      </c>
      <c r="C34" s="9" t="s">
        <v>85</v>
      </c>
      <c r="D34" s="2" t="s">
        <v>146</v>
      </c>
      <c r="E34" s="2" t="s">
        <v>165</v>
      </c>
      <c r="F34" s="2" t="s">
        <v>161</v>
      </c>
      <c r="G34" s="2" t="s">
        <v>74</v>
      </c>
      <c r="H34" s="2" t="s">
        <v>104</v>
      </c>
      <c r="I34" s="2" t="s">
        <v>88</v>
      </c>
      <c r="J34" s="2" t="s">
        <v>153</v>
      </c>
      <c r="K34" s="2">
        <v>60</v>
      </c>
      <c r="L34" s="2">
        <v>20</v>
      </c>
      <c r="M34" s="3">
        <f t="shared" si="6"/>
        <v>40</v>
      </c>
      <c r="N34" s="4">
        <f t="shared" si="7"/>
        <v>0.33333333333333331</v>
      </c>
      <c r="O34" s="2">
        <v>1</v>
      </c>
      <c r="P34" s="5">
        <f t="shared" si="8"/>
        <v>20</v>
      </c>
      <c r="Q34" s="6" t="s">
        <v>69</v>
      </c>
      <c r="R34" s="7" t="s">
        <v>63</v>
      </c>
      <c r="S34" s="8"/>
    </row>
    <row r="35" spans="1:19" ht="13.5" customHeight="1" x14ac:dyDescent="0.3">
      <c r="A35" s="2" t="s">
        <v>58</v>
      </c>
      <c r="B35" s="9" t="s">
        <v>54</v>
      </c>
      <c r="C35" s="9" t="s">
        <v>85</v>
      </c>
      <c r="D35" s="2" t="s">
        <v>146</v>
      </c>
      <c r="E35" s="2" t="s">
        <v>165</v>
      </c>
      <c r="F35" s="2" t="s">
        <v>161</v>
      </c>
      <c r="G35" s="9" t="s">
        <v>74</v>
      </c>
      <c r="H35" s="9" t="s">
        <v>104</v>
      </c>
      <c r="I35" s="9" t="s">
        <v>67</v>
      </c>
      <c r="J35" s="9" t="s">
        <v>154</v>
      </c>
      <c r="K35" s="9">
        <v>11</v>
      </c>
      <c r="L35" s="9">
        <v>6</v>
      </c>
      <c r="M35" s="3">
        <f t="shared" si="6"/>
        <v>5</v>
      </c>
      <c r="N35" s="4">
        <f t="shared" si="7"/>
        <v>0.54545454545454541</v>
      </c>
      <c r="O35" s="9">
        <v>20</v>
      </c>
      <c r="P35" s="5">
        <f t="shared" si="8"/>
        <v>120</v>
      </c>
      <c r="Q35" s="6" t="s">
        <v>69</v>
      </c>
      <c r="R35" s="7" t="s">
        <v>63</v>
      </c>
      <c r="S35" s="10"/>
    </row>
    <row r="36" spans="1:19" ht="13.5" customHeight="1" x14ac:dyDescent="0.3">
      <c r="A36" s="2" t="s">
        <v>58</v>
      </c>
      <c r="B36" s="9" t="s">
        <v>54</v>
      </c>
      <c r="C36" s="9" t="s">
        <v>85</v>
      </c>
      <c r="D36" s="2" t="s">
        <v>146</v>
      </c>
      <c r="E36" s="2" t="s">
        <v>165</v>
      </c>
      <c r="F36" s="2" t="s">
        <v>161</v>
      </c>
      <c r="G36" s="2" t="s">
        <v>74</v>
      </c>
      <c r="H36" s="2" t="s">
        <v>104</v>
      </c>
      <c r="I36" s="2" t="s">
        <v>101</v>
      </c>
      <c r="J36" s="2" t="s">
        <v>155</v>
      </c>
      <c r="K36" s="2">
        <v>420</v>
      </c>
      <c r="L36" s="2">
        <v>59</v>
      </c>
      <c r="M36" s="3">
        <f t="shared" si="6"/>
        <v>361</v>
      </c>
      <c r="N36" s="4">
        <f t="shared" si="7"/>
        <v>0.14047619047619048</v>
      </c>
      <c r="O36" s="2">
        <v>5</v>
      </c>
      <c r="P36" s="5">
        <f t="shared" si="8"/>
        <v>295</v>
      </c>
      <c r="Q36" s="6" t="s">
        <v>69</v>
      </c>
      <c r="R36" s="7" t="s">
        <v>63</v>
      </c>
      <c r="S36" s="8"/>
    </row>
    <row r="37" spans="1:19" ht="13.5" customHeight="1" x14ac:dyDescent="0.3">
      <c r="A37" s="2" t="s">
        <v>58</v>
      </c>
      <c r="B37" s="9" t="s">
        <v>54</v>
      </c>
      <c r="C37" s="9" t="s">
        <v>85</v>
      </c>
      <c r="D37" s="2" t="s">
        <v>110</v>
      </c>
      <c r="E37" s="2" t="s">
        <v>112</v>
      </c>
      <c r="F37" s="2" t="s">
        <v>111</v>
      </c>
      <c r="G37" s="9" t="s">
        <v>74</v>
      </c>
      <c r="H37" s="9" t="s">
        <v>113</v>
      </c>
      <c r="I37" s="2" t="s">
        <v>88</v>
      </c>
      <c r="J37" s="2" t="s">
        <v>114</v>
      </c>
      <c r="K37" s="2">
        <v>15</v>
      </c>
      <c r="L37" s="2">
        <v>10</v>
      </c>
      <c r="M37" s="3">
        <f t="shared" si="0"/>
        <v>5</v>
      </c>
      <c r="N37" s="4">
        <f t="shared" si="1"/>
        <v>0.66666666666666663</v>
      </c>
      <c r="O37" s="2">
        <v>50</v>
      </c>
      <c r="P37" s="5">
        <f t="shared" si="2"/>
        <v>500</v>
      </c>
      <c r="Q37" s="6" t="s">
        <v>69</v>
      </c>
      <c r="R37" s="7" t="s">
        <v>63</v>
      </c>
      <c r="S37" s="8"/>
    </row>
    <row r="38" spans="1:19" ht="13.5" customHeight="1" x14ac:dyDescent="0.3">
      <c r="A38" s="2" t="s">
        <v>58</v>
      </c>
      <c r="B38" s="9" t="s">
        <v>54</v>
      </c>
      <c r="C38" s="9" t="s">
        <v>85</v>
      </c>
      <c r="D38" s="2" t="s">
        <v>110</v>
      </c>
      <c r="E38" s="2" t="s">
        <v>112</v>
      </c>
      <c r="F38" s="2" t="s">
        <v>111</v>
      </c>
      <c r="G38" s="9" t="s">
        <v>74</v>
      </c>
      <c r="H38" s="9" t="s">
        <v>113</v>
      </c>
      <c r="I38" s="9" t="s">
        <v>88</v>
      </c>
      <c r="J38" s="9" t="s">
        <v>115</v>
      </c>
      <c r="K38" s="9">
        <v>250</v>
      </c>
      <c r="L38" s="9">
        <v>196</v>
      </c>
      <c r="M38" s="3">
        <f t="shared" si="0"/>
        <v>54</v>
      </c>
      <c r="N38" s="4">
        <f t="shared" si="1"/>
        <v>0.78400000000000003</v>
      </c>
      <c r="O38" s="9">
        <v>2</v>
      </c>
      <c r="P38" s="5">
        <f t="shared" si="2"/>
        <v>392</v>
      </c>
      <c r="Q38" s="6" t="s">
        <v>69</v>
      </c>
      <c r="R38" s="7" t="s">
        <v>63</v>
      </c>
      <c r="S38" s="10"/>
    </row>
    <row r="39" spans="1:19" ht="13.5" customHeight="1" x14ac:dyDescent="0.3">
      <c r="A39" s="2" t="s">
        <v>58</v>
      </c>
      <c r="B39" s="9" t="s">
        <v>54</v>
      </c>
      <c r="C39" s="9" t="s">
        <v>85</v>
      </c>
      <c r="D39" s="2" t="s">
        <v>110</v>
      </c>
      <c r="E39" s="2" t="s">
        <v>119</v>
      </c>
      <c r="F39" s="2" t="s">
        <v>118</v>
      </c>
      <c r="G39" s="9" t="s">
        <v>74</v>
      </c>
      <c r="H39" s="9" t="s">
        <v>113</v>
      </c>
      <c r="I39" s="2" t="s">
        <v>67</v>
      </c>
      <c r="J39" s="2" t="s">
        <v>116</v>
      </c>
      <c r="K39" s="2">
        <v>47</v>
      </c>
      <c r="L39" s="2">
        <v>47</v>
      </c>
      <c r="M39" s="3">
        <f t="shared" si="0"/>
        <v>0</v>
      </c>
      <c r="N39" s="4">
        <f t="shared" si="1"/>
        <v>1</v>
      </c>
      <c r="O39" s="2">
        <v>50</v>
      </c>
      <c r="P39" s="5">
        <f t="shared" si="2"/>
        <v>2350</v>
      </c>
      <c r="Q39" s="6" t="s">
        <v>69</v>
      </c>
      <c r="R39" s="7" t="s">
        <v>63</v>
      </c>
      <c r="S39" s="8"/>
    </row>
    <row r="40" spans="1:19" ht="13.5" customHeight="1" x14ac:dyDescent="0.3">
      <c r="A40" s="2" t="s">
        <v>58</v>
      </c>
      <c r="B40" s="9" t="s">
        <v>54</v>
      </c>
      <c r="C40" s="9" t="s">
        <v>85</v>
      </c>
      <c r="D40" s="2" t="s">
        <v>110</v>
      </c>
      <c r="E40" s="2" t="s">
        <v>119</v>
      </c>
      <c r="F40" s="2" t="s">
        <v>118</v>
      </c>
      <c r="G40" s="9" t="s">
        <v>74</v>
      </c>
      <c r="H40" s="9" t="s">
        <v>113</v>
      </c>
      <c r="I40" s="9" t="s">
        <v>67</v>
      </c>
      <c r="J40" s="9" t="s">
        <v>117</v>
      </c>
      <c r="K40" s="9">
        <v>20</v>
      </c>
      <c r="L40" s="9">
        <v>3</v>
      </c>
      <c r="M40" s="3">
        <f t="shared" si="0"/>
        <v>17</v>
      </c>
      <c r="N40" s="4">
        <f t="shared" si="1"/>
        <v>0.15</v>
      </c>
      <c r="O40" s="9">
        <v>125</v>
      </c>
      <c r="P40" s="5">
        <f t="shared" si="2"/>
        <v>375</v>
      </c>
      <c r="Q40" s="6" t="s">
        <v>69</v>
      </c>
      <c r="R40" s="7" t="s">
        <v>63</v>
      </c>
      <c r="S40" s="10"/>
    </row>
    <row r="41" spans="1:19" ht="13.5" customHeight="1" x14ac:dyDescent="0.3">
      <c r="A41" s="2" t="s">
        <v>58</v>
      </c>
      <c r="B41" s="9" t="s">
        <v>54</v>
      </c>
      <c r="C41" s="9" t="s">
        <v>85</v>
      </c>
      <c r="D41" s="2" t="s">
        <v>134</v>
      </c>
      <c r="E41" s="2" t="s">
        <v>129</v>
      </c>
      <c r="F41" s="2" t="s">
        <v>127</v>
      </c>
      <c r="G41" s="2" t="s">
        <v>74</v>
      </c>
      <c r="H41" s="9" t="s">
        <v>113</v>
      </c>
      <c r="I41" s="2" t="s">
        <v>101</v>
      </c>
      <c r="J41" s="2" t="s">
        <v>131</v>
      </c>
      <c r="K41" s="2">
        <v>105</v>
      </c>
      <c r="L41" s="2">
        <v>62</v>
      </c>
      <c r="M41" s="3">
        <f t="shared" si="0"/>
        <v>43</v>
      </c>
      <c r="N41" s="4">
        <f t="shared" si="1"/>
        <v>0.59047619047619049</v>
      </c>
      <c r="O41" s="2">
        <v>62</v>
      </c>
      <c r="P41" s="5">
        <f t="shared" si="2"/>
        <v>3844</v>
      </c>
      <c r="Q41" s="6" t="s">
        <v>69</v>
      </c>
      <c r="R41" s="7" t="s">
        <v>63</v>
      </c>
      <c r="S41" s="8"/>
    </row>
    <row r="42" spans="1:19" ht="13.5" customHeight="1" x14ac:dyDescent="0.3">
      <c r="A42" s="2" t="s">
        <v>58</v>
      </c>
      <c r="B42" s="9" t="s">
        <v>54</v>
      </c>
      <c r="C42" s="9" t="s">
        <v>85</v>
      </c>
      <c r="D42" s="9" t="s">
        <v>134</v>
      </c>
      <c r="E42" s="2" t="s">
        <v>129</v>
      </c>
      <c r="F42" s="2" t="s">
        <v>127</v>
      </c>
      <c r="G42" s="9" t="s">
        <v>74</v>
      </c>
      <c r="H42" s="9" t="s">
        <v>113</v>
      </c>
      <c r="I42" s="9" t="s">
        <v>101</v>
      </c>
      <c r="J42" s="9" t="s">
        <v>132</v>
      </c>
      <c r="K42" s="9">
        <v>40</v>
      </c>
      <c r="L42" s="9">
        <v>22</v>
      </c>
      <c r="M42" s="3">
        <f t="shared" si="0"/>
        <v>18</v>
      </c>
      <c r="N42" s="4">
        <f t="shared" si="1"/>
        <v>0.55000000000000004</v>
      </c>
      <c r="O42" s="9">
        <v>5</v>
      </c>
      <c r="P42" s="5">
        <f t="shared" si="2"/>
        <v>110</v>
      </c>
      <c r="Q42" s="6" t="s">
        <v>69</v>
      </c>
      <c r="R42" s="7" t="s">
        <v>63</v>
      </c>
      <c r="S42" s="10"/>
    </row>
    <row r="43" spans="1:19" ht="13.5" customHeight="1" x14ac:dyDescent="0.3">
      <c r="A43" s="2" t="s">
        <v>58</v>
      </c>
      <c r="B43" s="9" t="s">
        <v>54</v>
      </c>
      <c r="C43" s="9" t="s">
        <v>85</v>
      </c>
      <c r="D43" s="2" t="s">
        <v>134</v>
      </c>
      <c r="E43" s="2" t="s">
        <v>130</v>
      </c>
      <c r="F43" s="2" t="s">
        <v>128</v>
      </c>
      <c r="G43" s="2" t="s">
        <v>74</v>
      </c>
      <c r="H43" s="9" t="s">
        <v>113</v>
      </c>
      <c r="I43" s="2" t="s">
        <v>5</v>
      </c>
      <c r="J43" s="2" t="s">
        <v>133</v>
      </c>
      <c r="K43" s="2">
        <v>10</v>
      </c>
      <c r="L43" s="2">
        <v>2</v>
      </c>
      <c r="M43" s="3">
        <f t="shared" si="0"/>
        <v>8</v>
      </c>
      <c r="N43" s="4">
        <f t="shared" si="1"/>
        <v>0.2</v>
      </c>
      <c r="O43" s="2">
        <v>100</v>
      </c>
      <c r="P43" s="5">
        <f t="shared" si="2"/>
        <v>200</v>
      </c>
      <c r="Q43" s="6" t="s">
        <v>69</v>
      </c>
      <c r="R43" s="7" t="s">
        <v>63</v>
      </c>
      <c r="S43" s="8"/>
    </row>
    <row r="44" spans="1:19" ht="13.5" customHeight="1" x14ac:dyDescent="0.3">
      <c r="A44" s="2" t="s">
        <v>58</v>
      </c>
      <c r="B44" s="9" t="s">
        <v>54</v>
      </c>
      <c r="C44" s="9" t="s">
        <v>85</v>
      </c>
      <c r="D44" s="9" t="s">
        <v>134</v>
      </c>
      <c r="E44" s="2" t="s">
        <v>130</v>
      </c>
      <c r="F44" s="2" t="s">
        <v>128</v>
      </c>
      <c r="G44" s="9" t="s">
        <v>74</v>
      </c>
      <c r="H44" s="9" t="s">
        <v>113</v>
      </c>
      <c r="I44" s="9" t="s">
        <v>5</v>
      </c>
      <c r="J44" s="9" t="s">
        <v>133</v>
      </c>
      <c r="K44" s="9">
        <v>23</v>
      </c>
      <c r="L44" s="9">
        <v>2</v>
      </c>
      <c r="M44" s="3">
        <f t="shared" si="0"/>
        <v>21</v>
      </c>
      <c r="N44" s="4">
        <f t="shared" si="1"/>
        <v>8.6956521739130432E-2</v>
      </c>
      <c r="O44" s="9">
        <v>120</v>
      </c>
      <c r="P44" s="5">
        <f t="shared" si="2"/>
        <v>240</v>
      </c>
      <c r="Q44" s="6" t="s">
        <v>69</v>
      </c>
      <c r="R44" s="7" t="s">
        <v>63</v>
      </c>
      <c r="S44" s="10"/>
    </row>
    <row r="45" spans="1:19" ht="13.5" customHeight="1" x14ac:dyDescent="0.3">
      <c r="A45" s="2" t="s">
        <v>58</v>
      </c>
      <c r="B45" s="9" t="s">
        <v>54</v>
      </c>
      <c r="C45" s="9" t="s">
        <v>85</v>
      </c>
      <c r="D45" s="9" t="s">
        <v>110</v>
      </c>
      <c r="E45" s="2" t="s">
        <v>124</v>
      </c>
      <c r="F45" s="9" t="s">
        <v>122</v>
      </c>
      <c r="G45" s="9" t="s">
        <v>74</v>
      </c>
      <c r="H45" s="9" t="s">
        <v>126</v>
      </c>
      <c r="I45" s="9" t="s">
        <v>101</v>
      </c>
      <c r="J45" s="2" t="s">
        <v>75</v>
      </c>
      <c r="K45" s="9">
        <v>146</v>
      </c>
      <c r="L45" s="9">
        <v>63</v>
      </c>
      <c r="M45" s="3">
        <f t="shared" si="0"/>
        <v>83</v>
      </c>
      <c r="N45" s="4">
        <f t="shared" si="1"/>
        <v>0.4315068493150685</v>
      </c>
      <c r="O45" s="9">
        <v>5</v>
      </c>
      <c r="P45" s="5">
        <f>IFERROR(L45*O45,"")</f>
        <v>315</v>
      </c>
      <c r="Q45" s="6" t="s">
        <v>69</v>
      </c>
      <c r="R45" s="7" t="s">
        <v>63</v>
      </c>
      <c r="S45" s="10"/>
    </row>
    <row r="46" spans="1:19" ht="13.5" customHeight="1" x14ac:dyDescent="0.3">
      <c r="A46" s="2" t="s">
        <v>58</v>
      </c>
      <c r="B46" s="9" t="s">
        <v>54</v>
      </c>
      <c r="C46" s="9" t="s">
        <v>85</v>
      </c>
      <c r="D46" s="9" t="s">
        <v>110</v>
      </c>
      <c r="E46" s="2" t="s">
        <v>125</v>
      </c>
      <c r="F46" s="2" t="s">
        <v>123</v>
      </c>
      <c r="G46" s="2" t="s">
        <v>59</v>
      </c>
      <c r="H46" s="9" t="s">
        <v>126</v>
      </c>
      <c r="I46" s="2" t="s">
        <v>67</v>
      </c>
      <c r="J46" s="2" t="s">
        <v>121</v>
      </c>
      <c r="K46" s="2">
        <v>38</v>
      </c>
      <c r="L46" s="2">
        <v>4</v>
      </c>
      <c r="M46" s="3">
        <f t="shared" si="0"/>
        <v>34</v>
      </c>
      <c r="N46" s="4">
        <f t="shared" si="1"/>
        <v>0.10526315789473684</v>
      </c>
      <c r="O46" s="2">
        <v>35</v>
      </c>
      <c r="P46" s="5">
        <f t="shared" si="2"/>
        <v>140</v>
      </c>
      <c r="Q46" s="6" t="s">
        <v>69</v>
      </c>
      <c r="R46" s="7" t="s">
        <v>63</v>
      </c>
      <c r="S46" s="8"/>
    </row>
    <row r="47" spans="1:19" ht="13.5" customHeight="1" x14ac:dyDescent="0.3">
      <c r="A47" s="2" t="s">
        <v>58</v>
      </c>
      <c r="B47" s="9" t="s">
        <v>54</v>
      </c>
      <c r="C47" s="9" t="s">
        <v>85</v>
      </c>
      <c r="D47" s="9" t="s">
        <v>110</v>
      </c>
      <c r="E47" s="2" t="s">
        <v>125</v>
      </c>
      <c r="F47" s="2" t="s">
        <v>123</v>
      </c>
      <c r="G47" s="9" t="s">
        <v>59</v>
      </c>
      <c r="H47" s="9" t="s">
        <v>126</v>
      </c>
      <c r="I47" s="9" t="s">
        <v>6</v>
      </c>
      <c r="J47" s="9" t="s">
        <v>120</v>
      </c>
      <c r="K47" s="9">
        <v>12</v>
      </c>
      <c r="L47" s="9">
        <v>1</v>
      </c>
      <c r="M47" s="3">
        <f t="shared" si="0"/>
        <v>11</v>
      </c>
      <c r="N47" s="4">
        <f t="shared" si="1"/>
        <v>8.3333333333333329E-2</v>
      </c>
      <c r="O47" s="9">
        <v>75</v>
      </c>
      <c r="P47" s="5">
        <f t="shared" si="2"/>
        <v>75</v>
      </c>
      <c r="Q47" s="6" t="s">
        <v>69</v>
      </c>
      <c r="R47" s="7" t="s">
        <v>63</v>
      </c>
      <c r="S47" s="10"/>
    </row>
    <row r="48" spans="1:19" ht="13.5" customHeight="1" x14ac:dyDescent="0.3">
      <c r="A48" s="2" t="s">
        <v>58</v>
      </c>
      <c r="B48" s="9" t="s">
        <v>54</v>
      </c>
      <c r="C48" s="9" t="s">
        <v>85</v>
      </c>
      <c r="D48" s="9" t="s">
        <v>110</v>
      </c>
      <c r="E48" s="2" t="s">
        <v>125</v>
      </c>
      <c r="F48" s="2" t="s">
        <v>123</v>
      </c>
      <c r="G48" s="2" t="s">
        <v>59</v>
      </c>
      <c r="H48" s="9" t="s">
        <v>126</v>
      </c>
      <c r="I48" s="2" t="s">
        <v>6</v>
      </c>
      <c r="J48" s="2" t="s">
        <v>108</v>
      </c>
      <c r="K48" s="2">
        <v>5</v>
      </c>
      <c r="L48" s="2">
        <v>0</v>
      </c>
      <c r="M48" s="3">
        <f t="shared" ref="M48:M50" si="9">IFERROR(K48-L48,"")</f>
        <v>5</v>
      </c>
      <c r="N48" s="4">
        <f t="shared" ref="N48:N50" si="10">IFERROR(L48/K48,"")</f>
        <v>0</v>
      </c>
      <c r="O48" s="2">
        <v>50</v>
      </c>
      <c r="P48" s="5">
        <f t="shared" ref="P48:P50" si="11">IFERROR(L48*O48,"")</f>
        <v>0</v>
      </c>
      <c r="Q48" s="6" t="s">
        <v>69</v>
      </c>
      <c r="R48" s="7" t="s">
        <v>63</v>
      </c>
      <c r="S48" s="8"/>
    </row>
    <row r="49" spans="1:19" ht="13.5" customHeight="1" x14ac:dyDescent="0.3">
      <c r="A49" s="2" t="s">
        <v>58</v>
      </c>
      <c r="B49" s="9" t="s">
        <v>54</v>
      </c>
      <c r="C49" s="9" t="s">
        <v>85</v>
      </c>
      <c r="D49" s="9" t="s">
        <v>134</v>
      </c>
      <c r="E49" s="2" t="s">
        <v>142</v>
      </c>
      <c r="F49" s="2" t="s">
        <v>140</v>
      </c>
      <c r="G49" s="9" t="s">
        <v>74</v>
      </c>
      <c r="H49" s="9" t="s">
        <v>126</v>
      </c>
      <c r="I49" s="9" t="s">
        <v>101</v>
      </c>
      <c r="J49" s="9" t="s">
        <v>132</v>
      </c>
      <c r="K49" s="9">
        <v>80</v>
      </c>
      <c r="L49" s="9">
        <v>57</v>
      </c>
      <c r="M49" s="3">
        <f t="shared" si="9"/>
        <v>23</v>
      </c>
      <c r="N49" s="4">
        <f t="shared" si="10"/>
        <v>0.71250000000000002</v>
      </c>
      <c r="O49" s="9">
        <v>5</v>
      </c>
      <c r="P49" s="5">
        <f t="shared" si="11"/>
        <v>285</v>
      </c>
      <c r="Q49" s="6" t="s">
        <v>69</v>
      </c>
      <c r="R49" s="7" t="s">
        <v>63</v>
      </c>
      <c r="S49" s="10"/>
    </row>
    <row r="50" spans="1:19" ht="13.5" customHeight="1" x14ac:dyDescent="0.3">
      <c r="A50" s="2" t="s">
        <v>58</v>
      </c>
      <c r="B50" s="9" t="s">
        <v>54</v>
      </c>
      <c r="C50" s="9" t="s">
        <v>85</v>
      </c>
      <c r="D50" s="9" t="s">
        <v>134</v>
      </c>
      <c r="E50" s="2" t="s">
        <v>143</v>
      </c>
      <c r="F50" s="2" t="s">
        <v>141</v>
      </c>
      <c r="G50" s="9" t="s">
        <v>74</v>
      </c>
      <c r="H50" s="9" t="s">
        <v>126</v>
      </c>
      <c r="I50" s="9" t="s">
        <v>5</v>
      </c>
      <c r="J50" s="9" t="s">
        <v>133</v>
      </c>
      <c r="K50" s="9">
        <v>35</v>
      </c>
      <c r="L50" s="9">
        <v>5</v>
      </c>
      <c r="M50" s="3">
        <f t="shared" si="9"/>
        <v>30</v>
      </c>
      <c r="N50" s="4">
        <f t="shared" si="10"/>
        <v>0.14285714285714285</v>
      </c>
      <c r="O50" s="9">
        <v>100</v>
      </c>
      <c r="P50" s="5">
        <f t="shared" si="11"/>
        <v>500</v>
      </c>
      <c r="Q50" s="6" t="s">
        <v>69</v>
      </c>
      <c r="R50" s="7" t="s">
        <v>63</v>
      </c>
      <c r="S50" s="10"/>
    </row>
    <row r="51" spans="1:19" ht="13.5" customHeight="1" x14ac:dyDescent="0.3">
      <c r="A51" s="2" t="s">
        <v>58</v>
      </c>
      <c r="B51" s="9" t="s">
        <v>54</v>
      </c>
      <c r="C51" s="9" t="s">
        <v>85</v>
      </c>
      <c r="D51" s="2" t="s">
        <v>146</v>
      </c>
      <c r="E51" s="2" t="s">
        <v>166</v>
      </c>
      <c r="F51" s="9" t="s">
        <v>162</v>
      </c>
      <c r="G51" s="9" t="s">
        <v>74</v>
      </c>
      <c r="H51" s="9" t="s">
        <v>100</v>
      </c>
      <c r="I51" s="9" t="s">
        <v>101</v>
      </c>
      <c r="J51" s="9" t="s">
        <v>156</v>
      </c>
      <c r="K51" s="9">
        <v>50</v>
      </c>
      <c r="L51" s="9">
        <v>14</v>
      </c>
      <c r="M51" s="3">
        <f t="shared" si="0"/>
        <v>36</v>
      </c>
      <c r="N51" s="4">
        <f t="shared" si="1"/>
        <v>0.28000000000000003</v>
      </c>
      <c r="O51" s="9">
        <v>5</v>
      </c>
      <c r="P51" s="5">
        <f t="shared" si="2"/>
        <v>70</v>
      </c>
      <c r="Q51" s="6" t="s">
        <v>69</v>
      </c>
      <c r="R51" s="7" t="s">
        <v>63</v>
      </c>
      <c r="S51" s="10"/>
    </row>
    <row r="52" spans="1:19" ht="13.5" customHeight="1" x14ac:dyDescent="0.3">
      <c r="A52" s="2" t="s">
        <v>58</v>
      </c>
      <c r="B52" s="9" t="s">
        <v>54</v>
      </c>
      <c r="C52" s="9" t="s">
        <v>85</v>
      </c>
      <c r="D52" s="2" t="s">
        <v>146</v>
      </c>
      <c r="E52" s="2" t="s">
        <v>168</v>
      </c>
      <c r="F52" s="2" t="s">
        <v>163</v>
      </c>
      <c r="G52" s="2" t="s">
        <v>74</v>
      </c>
      <c r="H52" s="2" t="s">
        <v>100</v>
      </c>
      <c r="I52" s="2" t="s">
        <v>101</v>
      </c>
      <c r="J52" s="2" t="s">
        <v>157</v>
      </c>
      <c r="K52" s="2">
        <v>28</v>
      </c>
      <c r="L52" s="2">
        <v>5</v>
      </c>
      <c r="M52" s="3">
        <f t="shared" si="0"/>
        <v>23</v>
      </c>
      <c r="N52" s="4">
        <f t="shared" si="1"/>
        <v>0.17857142857142858</v>
      </c>
      <c r="O52" s="2">
        <v>5</v>
      </c>
      <c r="P52" s="5">
        <f t="shared" si="2"/>
        <v>25</v>
      </c>
      <c r="Q52" s="6" t="s">
        <v>69</v>
      </c>
      <c r="R52" s="7" t="s">
        <v>70</v>
      </c>
      <c r="S52" s="8"/>
    </row>
    <row r="53" spans="1:19" ht="13.5" customHeight="1" x14ac:dyDescent="0.3">
      <c r="A53" s="2" t="s">
        <v>58</v>
      </c>
      <c r="B53" s="9" t="s">
        <v>54</v>
      </c>
      <c r="C53" s="9" t="s">
        <v>85</v>
      </c>
      <c r="D53" s="2" t="s">
        <v>146</v>
      </c>
      <c r="E53" s="2" t="s">
        <v>168</v>
      </c>
      <c r="F53" s="2" t="s">
        <v>163</v>
      </c>
      <c r="G53" s="9" t="s">
        <v>74</v>
      </c>
      <c r="H53" s="9" t="s">
        <v>100</v>
      </c>
      <c r="I53" s="9" t="s">
        <v>101</v>
      </c>
      <c r="J53" s="9" t="s">
        <v>158</v>
      </c>
      <c r="K53" s="9">
        <v>136</v>
      </c>
      <c r="L53" s="9">
        <v>19</v>
      </c>
      <c r="M53" s="3">
        <f t="shared" si="0"/>
        <v>117</v>
      </c>
      <c r="N53" s="4">
        <f t="shared" si="1"/>
        <v>0.13970588235294118</v>
      </c>
      <c r="O53" s="9">
        <v>5</v>
      </c>
      <c r="P53" s="5">
        <f t="shared" si="2"/>
        <v>95</v>
      </c>
      <c r="Q53" s="6" t="s">
        <v>69</v>
      </c>
      <c r="R53" s="7" t="s">
        <v>63</v>
      </c>
      <c r="S53" s="10"/>
    </row>
    <row r="54" spans="1:19" ht="13.5" customHeight="1" x14ac:dyDescent="0.3">
      <c r="A54" s="2" t="s">
        <v>58</v>
      </c>
      <c r="B54" s="9" t="s">
        <v>54</v>
      </c>
      <c r="C54" s="9" t="s">
        <v>85</v>
      </c>
      <c r="D54" s="2" t="s">
        <v>146</v>
      </c>
      <c r="E54" s="2" t="s">
        <v>167</v>
      </c>
      <c r="F54" s="2" t="s">
        <v>159</v>
      </c>
      <c r="G54" s="2" t="s">
        <v>59</v>
      </c>
      <c r="H54" s="2" t="s">
        <v>100</v>
      </c>
      <c r="I54" s="2" t="s">
        <v>7</v>
      </c>
      <c r="J54" s="2" t="s">
        <v>160</v>
      </c>
      <c r="K54" s="39">
        <v>5000</v>
      </c>
      <c r="L54" s="2">
        <v>5</v>
      </c>
      <c r="M54" s="3">
        <f t="shared" si="0"/>
        <v>4995</v>
      </c>
      <c r="N54" s="4">
        <f t="shared" si="1"/>
        <v>1E-3</v>
      </c>
      <c r="O54" s="2">
        <v>5</v>
      </c>
      <c r="P54" s="5">
        <f t="shared" si="2"/>
        <v>25</v>
      </c>
      <c r="Q54" s="6" t="s">
        <v>69</v>
      </c>
      <c r="R54" s="7" t="s">
        <v>63</v>
      </c>
      <c r="S54" s="8"/>
    </row>
    <row r="55" spans="1:19" ht="13.5" customHeight="1" x14ac:dyDescent="0.3">
      <c r="A55" s="2" t="s">
        <v>58</v>
      </c>
      <c r="B55" s="9" t="s">
        <v>54</v>
      </c>
      <c r="C55" s="9" t="s">
        <v>85</v>
      </c>
      <c r="D55" s="9" t="s">
        <v>80</v>
      </c>
      <c r="E55" s="2" t="s">
        <v>98</v>
      </c>
      <c r="F55" s="2" t="s">
        <v>99</v>
      </c>
      <c r="G55" s="2" t="s">
        <v>74</v>
      </c>
      <c r="H55" s="2" t="s">
        <v>100</v>
      </c>
      <c r="I55" s="2" t="s">
        <v>101</v>
      </c>
      <c r="J55" s="2" t="s">
        <v>102</v>
      </c>
      <c r="K55" s="2">
        <v>400</v>
      </c>
      <c r="L55" s="2">
        <v>11</v>
      </c>
      <c r="M55" s="3">
        <f t="shared" ref="M55" si="12">IFERROR(K55-L55,"")</f>
        <v>389</v>
      </c>
      <c r="N55" s="4">
        <f t="shared" ref="N55" si="13">IFERROR(L55/K55,"")</f>
        <v>2.75E-2</v>
      </c>
      <c r="O55" s="2">
        <v>5</v>
      </c>
      <c r="P55" s="5">
        <f t="shared" ref="P55" si="14">IFERROR(L55*O55,"")</f>
        <v>55</v>
      </c>
      <c r="Q55" s="6" t="s">
        <v>69</v>
      </c>
      <c r="R55" s="7" t="s">
        <v>63</v>
      </c>
      <c r="S55" s="8"/>
    </row>
    <row r="56" spans="1:19" ht="13.5" customHeight="1" x14ac:dyDescent="0.3">
      <c r="A56" s="40">
        <v>46197</v>
      </c>
      <c r="B56" s="2" t="s">
        <v>54</v>
      </c>
      <c r="C56" s="9" t="s">
        <v>85</v>
      </c>
      <c r="D56" s="2" t="s">
        <v>169</v>
      </c>
      <c r="E56" s="2" t="s">
        <v>170</v>
      </c>
      <c r="F56" s="2" t="s">
        <v>171</v>
      </c>
      <c r="G56" s="2" t="s">
        <v>59</v>
      </c>
      <c r="H56" s="2" t="s">
        <v>172</v>
      </c>
      <c r="I56" s="2" t="s">
        <v>7</v>
      </c>
      <c r="J56" s="2" t="s">
        <v>173</v>
      </c>
      <c r="K56" s="2">
        <v>2</v>
      </c>
      <c r="L56" s="2">
        <v>1</v>
      </c>
      <c r="M56" s="3">
        <f t="shared" si="0"/>
        <v>1</v>
      </c>
      <c r="N56" s="4">
        <f t="shared" si="1"/>
        <v>0.5</v>
      </c>
      <c r="O56" s="2">
        <v>300</v>
      </c>
      <c r="P56" s="5">
        <f t="shared" si="2"/>
        <v>300</v>
      </c>
      <c r="Q56" s="6" t="s">
        <v>62</v>
      </c>
      <c r="R56" s="7" t="s">
        <v>63</v>
      </c>
      <c r="S56" s="8" t="s">
        <v>174</v>
      </c>
    </row>
    <row r="57" spans="1:19" ht="13.5" customHeight="1" x14ac:dyDescent="0.3">
      <c r="A57" s="40">
        <v>46197</v>
      </c>
      <c r="B57" s="2" t="s">
        <v>54</v>
      </c>
      <c r="C57" s="9" t="s">
        <v>85</v>
      </c>
      <c r="D57" s="2" t="s">
        <v>169</v>
      </c>
      <c r="E57" s="2" t="s">
        <v>170</v>
      </c>
      <c r="F57" s="2" t="s">
        <v>171</v>
      </c>
      <c r="G57" s="2" t="s">
        <v>59</v>
      </c>
      <c r="H57" s="2" t="s">
        <v>172</v>
      </c>
      <c r="I57" s="2" t="s">
        <v>7</v>
      </c>
      <c r="J57" s="2" t="s">
        <v>175</v>
      </c>
      <c r="K57" s="9">
        <v>1</v>
      </c>
      <c r="L57" s="9">
        <v>0</v>
      </c>
      <c r="M57" s="3">
        <f t="shared" si="0"/>
        <v>1</v>
      </c>
      <c r="N57" s="4">
        <f t="shared" si="1"/>
        <v>0</v>
      </c>
      <c r="O57" s="9">
        <v>700</v>
      </c>
      <c r="P57" s="5">
        <f t="shared" si="2"/>
        <v>0</v>
      </c>
      <c r="Q57" s="6" t="s">
        <v>62</v>
      </c>
      <c r="R57" s="7" t="s">
        <v>63</v>
      </c>
      <c r="S57" s="8" t="s">
        <v>174</v>
      </c>
    </row>
    <row r="58" spans="1:19" ht="13.5" customHeight="1" x14ac:dyDescent="0.3">
      <c r="A58" s="40">
        <v>46197</v>
      </c>
      <c r="B58" s="2" t="s">
        <v>54</v>
      </c>
      <c r="C58" s="9" t="s">
        <v>85</v>
      </c>
      <c r="D58" s="2" t="s">
        <v>169</v>
      </c>
      <c r="E58" s="2" t="s">
        <v>176</v>
      </c>
      <c r="F58" s="2" t="s">
        <v>177</v>
      </c>
      <c r="G58" s="2" t="s">
        <v>74</v>
      </c>
      <c r="H58" s="2" t="s">
        <v>172</v>
      </c>
      <c r="I58" s="2" t="s">
        <v>101</v>
      </c>
      <c r="J58" s="2" t="s">
        <v>155</v>
      </c>
      <c r="K58" s="2">
        <v>80</v>
      </c>
      <c r="L58" s="2">
        <v>22</v>
      </c>
      <c r="M58" s="3">
        <f t="shared" si="0"/>
        <v>58</v>
      </c>
      <c r="N58" s="4">
        <f t="shared" si="1"/>
        <v>0.27500000000000002</v>
      </c>
      <c r="O58" s="2">
        <v>5</v>
      </c>
      <c r="P58" s="5">
        <f t="shared" si="2"/>
        <v>110</v>
      </c>
      <c r="Q58" s="6" t="s">
        <v>69</v>
      </c>
      <c r="R58" s="7" t="s">
        <v>63</v>
      </c>
      <c r="S58" s="8"/>
    </row>
    <row r="59" spans="1:19" ht="13.5" customHeight="1" x14ac:dyDescent="0.3">
      <c r="A59" s="40">
        <v>46197</v>
      </c>
      <c r="B59" s="9" t="s">
        <v>54</v>
      </c>
      <c r="C59" s="9" t="s">
        <v>85</v>
      </c>
      <c r="D59" s="2" t="s">
        <v>169</v>
      </c>
      <c r="E59" s="9" t="s">
        <v>178</v>
      </c>
      <c r="F59" s="9" t="s">
        <v>179</v>
      </c>
      <c r="G59" s="9" t="s">
        <v>74</v>
      </c>
      <c r="H59" s="2" t="s">
        <v>172</v>
      </c>
      <c r="I59" s="9" t="s">
        <v>7</v>
      </c>
      <c r="J59" s="9" t="s">
        <v>180</v>
      </c>
      <c r="K59" s="9">
        <v>10</v>
      </c>
      <c r="L59" s="9">
        <v>1</v>
      </c>
      <c r="M59" s="3">
        <f t="shared" si="0"/>
        <v>9</v>
      </c>
      <c r="N59" s="4">
        <f t="shared" si="1"/>
        <v>0.1</v>
      </c>
      <c r="O59" s="9">
        <v>50</v>
      </c>
      <c r="P59" s="5">
        <f t="shared" si="2"/>
        <v>50</v>
      </c>
      <c r="Q59" s="6" t="s">
        <v>69</v>
      </c>
      <c r="R59" s="7" t="s">
        <v>63</v>
      </c>
      <c r="S59" s="10"/>
    </row>
    <row r="60" spans="1:19" ht="13.5" customHeight="1" x14ac:dyDescent="0.3">
      <c r="A60" s="40">
        <v>46197</v>
      </c>
      <c r="B60" s="2" t="s">
        <v>54</v>
      </c>
      <c r="C60" s="9" t="s">
        <v>85</v>
      </c>
      <c r="D60" s="2" t="s">
        <v>169</v>
      </c>
      <c r="E60" s="9" t="s">
        <v>178</v>
      </c>
      <c r="F60" s="9" t="s">
        <v>179</v>
      </c>
      <c r="G60" s="9" t="s">
        <v>74</v>
      </c>
      <c r="H60" s="2" t="s">
        <v>172</v>
      </c>
      <c r="I60" s="2" t="s">
        <v>7</v>
      </c>
      <c r="J60" s="2" t="s">
        <v>181</v>
      </c>
      <c r="K60" s="2">
        <v>3</v>
      </c>
      <c r="L60" s="2">
        <v>0</v>
      </c>
      <c r="M60" s="3">
        <f t="shared" si="0"/>
        <v>3</v>
      </c>
      <c r="N60" s="4">
        <f t="shared" si="1"/>
        <v>0</v>
      </c>
      <c r="O60" s="2">
        <v>50</v>
      </c>
      <c r="P60" s="5">
        <f t="shared" si="2"/>
        <v>0</v>
      </c>
      <c r="Q60" s="6" t="s">
        <v>69</v>
      </c>
      <c r="R60" s="7" t="s">
        <v>63</v>
      </c>
      <c r="S60" s="8"/>
    </row>
    <row r="61" spans="1:19" ht="13.5" customHeight="1" x14ac:dyDescent="0.3">
      <c r="A61" s="40">
        <v>46197</v>
      </c>
      <c r="B61" s="9" t="s">
        <v>54</v>
      </c>
      <c r="C61" s="9" t="s">
        <v>85</v>
      </c>
      <c r="D61" s="2" t="s">
        <v>169</v>
      </c>
      <c r="E61" s="9" t="s">
        <v>178</v>
      </c>
      <c r="F61" s="9" t="s">
        <v>179</v>
      </c>
      <c r="G61" s="9" t="s">
        <v>74</v>
      </c>
      <c r="H61" s="2" t="s">
        <v>172</v>
      </c>
      <c r="I61" s="9" t="s">
        <v>7</v>
      </c>
      <c r="J61" s="9" t="s">
        <v>182</v>
      </c>
      <c r="K61" s="9">
        <v>1</v>
      </c>
      <c r="L61" s="9">
        <v>0</v>
      </c>
      <c r="M61" s="3">
        <f t="shared" si="0"/>
        <v>1</v>
      </c>
      <c r="N61" s="4">
        <f t="shared" si="1"/>
        <v>0</v>
      </c>
      <c r="O61" s="9">
        <v>200</v>
      </c>
      <c r="P61" s="5">
        <f t="shared" si="2"/>
        <v>0</v>
      </c>
      <c r="Q61" s="6" t="s">
        <v>69</v>
      </c>
      <c r="R61" s="7" t="s">
        <v>63</v>
      </c>
      <c r="S61" s="10"/>
    </row>
    <row r="62" spans="1:19" ht="13.5" customHeight="1" x14ac:dyDescent="0.3">
      <c r="A62" s="40">
        <v>46197</v>
      </c>
      <c r="B62" s="9" t="s">
        <v>54</v>
      </c>
      <c r="C62" s="9" t="s">
        <v>85</v>
      </c>
      <c r="D62" s="2" t="s">
        <v>169</v>
      </c>
      <c r="E62" s="9" t="s">
        <v>178</v>
      </c>
      <c r="F62" s="2" t="s">
        <v>179</v>
      </c>
      <c r="G62" s="9" t="s">
        <v>74</v>
      </c>
      <c r="H62" s="2" t="s">
        <v>172</v>
      </c>
      <c r="I62" s="2" t="s">
        <v>7</v>
      </c>
      <c r="J62" s="2" t="s">
        <v>183</v>
      </c>
      <c r="K62" s="2">
        <v>4</v>
      </c>
      <c r="L62" s="2">
        <v>1</v>
      </c>
      <c r="M62" s="3">
        <f t="shared" si="0"/>
        <v>3</v>
      </c>
      <c r="N62" s="4">
        <f t="shared" si="1"/>
        <v>0.25</v>
      </c>
      <c r="O62" s="2">
        <v>50</v>
      </c>
      <c r="P62" s="5">
        <f t="shared" si="2"/>
        <v>50</v>
      </c>
      <c r="Q62" s="6" t="s">
        <v>62</v>
      </c>
      <c r="R62" s="7" t="s">
        <v>63</v>
      </c>
      <c r="S62" s="8"/>
    </row>
    <row r="63" spans="1:19" ht="13.5" customHeight="1" x14ac:dyDescent="0.3">
      <c r="A63" s="40">
        <v>46197</v>
      </c>
      <c r="B63" s="9" t="s">
        <v>54</v>
      </c>
      <c r="C63" s="9" t="s">
        <v>85</v>
      </c>
      <c r="D63" s="2" t="s">
        <v>169</v>
      </c>
      <c r="E63" s="9" t="s">
        <v>178</v>
      </c>
      <c r="F63" s="2" t="s">
        <v>179</v>
      </c>
      <c r="G63" s="9" t="s">
        <v>74</v>
      </c>
      <c r="H63" s="2" t="s">
        <v>172</v>
      </c>
      <c r="I63" s="9" t="s">
        <v>7</v>
      </c>
      <c r="J63" s="9" t="s">
        <v>184</v>
      </c>
      <c r="K63" s="9">
        <v>3</v>
      </c>
      <c r="L63" s="9">
        <v>0</v>
      </c>
      <c r="M63" s="3">
        <f t="shared" si="0"/>
        <v>3</v>
      </c>
      <c r="N63" s="4">
        <f t="shared" si="1"/>
        <v>0</v>
      </c>
      <c r="O63" s="9">
        <v>50</v>
      </c>
      <c r="P63" s="5">
        <f t="shared" si="2"/>
        <v>0</v>
      </c>
      <c r="Q63" s="6" t="s">
        <v>69</v>
      </c>
      <c r="R63" s="7" t="s">
        <v>63</v>
      </c>
      <c r="S63" s="10"/>
    </row>
    <row r="64" spans="1:19" ht="13.5" customHeight="1" x14ac:dyDescent="0.3">
      <c r="A64" s="40">
        <v>46197</v>
      </c>
      <c r="B64" s="9" t="s">
        <v>54</v>
      </c>
      <c r="C64" s="9" t="s">
        <v>85</v>
      </c>
      <c r="D64" s="2" t="s">
        <v>169</v>
      </c>
      <c r="E64" s="9" t="s">
        <v>178</v>
      </c>
      <c r="F64" s="2" t="s">
        <v>179</v>
      </c>
      <c r="G64" s="9" t="s">
        <v>74</v>
      </c>
      <c r="H64" s="2" t="s">
        <v>172</v>
      </c>
      <c r="I64" s="2" t="s">
        <v>7</v>
      </c>
      <c r="J64" s="2" t="s">
        <v>185</v>
      </c>
      <c r="K64" s="2">
        <v>3</v>
      </c>
      <c r="L64" s="2">
        <v>0</v>
      </c>
      <c r="M64" s="3">
        <f t="shared" ref="M64" si="15">IFERROR(K64-L64,"")</f>
        <v>3</v>
      </c>
      <c r="N64" s="4">
        <f t="shared" ref="N64" si="16">IFERROR(L64/K64,"")</f>
        <v>0</v>
      </c>
      <c r="O64" s="2">
        <v>100</v>
      </c>
      <c r="P64" s="5">
        <f t="shared" ref="P64" si="17">IFERROR(L64*O64,"")</f>
        <v>0</v>
      </c>
      <c r="Q64" s="6" t="s">
        <v>69</v>
      </c>
      <c r="R64" s="7" t="s">
        <v>63</v>
      </c>
      <c r="S64" s="8"/>
    </row>
  </sheetData>
  <phoneticPr fontId="10" type="noConversion"/>
  <dataValidations count="5">
    <dataValidation type="list" allowBlank="1" sqref="R2:R4 Q3:Q64" xr:uid="{00000000-0002-0000-0000-000001000000}">
      <formula1>"Sim,Não"</formula1>
      <formula2>0</formula2>
    </dataValidation>
    <dataValidation type="list" allowBlank="1" sqref="G2:G64" xr:uid="{00000000-0002-0000-0000-000000000000}">
      <formula1>"Feminino,Masculino"</formula1>
      <formula2>0</formula2>
    </dataValidation>
    <dataValidation type="list" allowBlank="1" sqref="R2:R64" xr:uid="{00000000-0002-0000-0000-000002000000}">
      <formula1>"Sim — negócio em funcionamento,Sim — novo produto/serviço,Parcial,Não"</formula1>
      <formula2>0</formula2>
    </dataValidation>
    <dataValidation type="list" allowBlank="1" sqref="B2:B64" xr:uid="{00000000-0002-0000-0000-000003000000}">
      <formula1>"Nacala-a-Porto,Monapo"</formula1>
      <formula2>0</formula2>
    </dataValidation>
    <dataValidation type="list" allowBlank="1" sqref="I2:I64" xr:uid="{00000000-0002-0000-0000-000004000000}">
      <formula1>"Alim. perecível (revenda),Alim. não perecível (revenda),Alim. confeccionado/preparado,Produção própria / Machamba,Vestuário,Higiene e limpeza,Artesanato,Outro"</formula1>
      <formula2>0</formula2>
    </dataValidation>
  </dataValidations>
  <pageMargins left="0.75" right="0.75" top="1" bottom="1" header="0.511811023622047" footer="0.511811023622047"/>
  <pageSetup paperSize="9" orientation="portrait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1E8449"/>
  </sheetPr>
  <dimension ref="A1:G23"/>
  <sheetViews>
    <sheetView showGridLines="0" topLeftCell="A7" zoomScaleNormal="100" workbookViewId="0">
      <selection activeCell="G7" sqref="G7"/>
    </sheetView>
  </sheetViews>
  <sheetFormatPr defaultColWidth="8.5546875" defaultRowHeight="14.4" x14ac:dyDescent="0.3"/>
  <cols>
    <col min="1" max="1" width="40" customWidth="1"/>
    <col min="2" max="2" width="16" customWidth="1"/>
    <col min="3" max="3" width="14" customWidth="1"/>
    <col min="4" max="4" width="44" customWidth="1"/>
    <col min="5" max="5" width="13" customWidth="1"/>
    <col min="6" max="6" width="14" customWidth="1"/>
    <col min="7" max="7" width="32" customWidth="1"/>
  </cols>
  <sheetData>
    <row r="1" spans="1:7" ht="30" customHeight="1" x14ac:dyDescent="0.3">
      <c r="A1" s="41" t="s">
        <v>8</v>
      </c>
      <c r="B1" s="41"/>
      <c r="C1" s="41"/>
      <c r="D1" s="41"/>
      <c r="E1" s="41"/>
      <c r="F1" s="41"/>
      <c r="G1" s="41"/>
    </row>
    <row r="2" spans="1:7" ht="15" customHeight="1" x14ac:dyDescent="0.3">
      <c r="A2" s="42" t="s">
        <v>9</v>
      </c>
      <c r="B2" s="42"/>
      <c r="C2" s="42"/>
      <c r="D2" s="42"/>
      <c r="E2" s="42"/>
      <c r="F2" s="42"/>
      <c r="G2" s="42"/>
    </row>
    <row r="4" spans="1:7" ht="6" customHeight="1" x14ac:dyDescent="0.3"/>
    <row r="5" spans="1:7" ht="18" customHeight="1" x14ac:dyDescent="0.3">
      <c r="A5" s="43" t="s">
        <v>10</v>
      </c>
      <c r="B5" s="43"/>
      <c r="C5" s="43"/>
      <c r="D5" s="43"/>
      <c r="E5" s="43"/>
      <c r="F5" s="43"/>
      <c r="G5" s="43"/>
    </row>
    <row r="6" spans="1:7" ht="43.5" customHeight="1" x14ac:dyDescent="0.3">
      <c r="A6" s="11" t="s">
        <v>11</v>
      </c>
      <c r="B6" s="11" t="s">
        <v>12</v>
      </c>
      <c r="C6" s="11" t="s">
        <v>13</v>
      </c>
      <c r="D6" s="11" t="s">
        <v>14</v>
      </c>
      <c r="E6" s="11" t="s">
        <v>15</v>
      </c>
      <c r="F6" s="11" t="s">
        <v>16</v>
      </c>
      <c r="G6" s="11" t="s">
        <v>17</v>
      </c>
    </row>
    <row r="7" spans="1:7" ht="43.5" customHeight="1" x14ac:dyDescent="0.3">
      <c r="A7" s="12" t="s">
        <v>18</v>
      </c>
      <c r="B7" s="13" t="s">
        <v>19</v>
      </c>
      <c r="C7" s="14" t="s">
        <v>20</v>
      </c>
      <c r="D7" s="13" t="s">
        <v>21</v>
      </c>
      <c r="E7" s="15" t="str">
        <f>IF(COUNTA(Registo_Feiras!E2:E64)&gt;0,"✅ Realizada","⏳ Não registada")</f>
        <v>✅ Realizada</v>
      </c>
      <c r="F7" s="14" t="s">
        <v>22</v>
      </c>
      <c r="G7" s="16" t="s">
        <v>23</v>
      </c>
    </row>
    <row r="8" spans="1:7" ht="51" customHeight="1" x14ac:dyDescent="0.3">
      <c r="A8" s="17" t="s">
        <v>24</v>
      </c>
      <c r="B8" s="18" t="s">
        <v>25</v>
      </c>
      <c r="C8" s="19" t="s">
        <v>26</v>
      </c>
      <c r="D8" s="18" t="s">
        <v>27</v>
      </c>
      <c r="E8" s="20">
        <f>IFERROR((COUNTIF(Registo_Feiras!R2:R64,"Sim — negócio em funcionamento")+COUNTIF(Registo_Feiras!R2:R64,"Sim — novo produto/serviço"))/COUNTA(Registo_Feiras!E2:E64),"")</f>
        <v>1</v>
      </c>
      <c r="F8" s="19" t="s">
        <v>28</v>
      </c>
      <c r="G8" s="21" t="s">
        <v>29</v>
      </c>
    </row>
    <row r="9" spans="1:7" ht="43.5" customHeight="1" x14ac:dyDescent="0.3">
      <c r="A9" s="22" t="s">
        <v>30</v>
      </c>
      <c r="B9" s="23" t="s">
        <v>31</v>
      </c>
      <c r="C9" s="24" t="s">
        <v>32</v>
      </c>
      <c r="D9" s="23" t="s">
        <v>33</v>
      </c>
      <c r="E9" s="25">
        <f>IFERROR(COUNTIF(Registo_Feiras!Q2:Q64,"Sim")/COUNTA(Registo_Feiras!E2:E64),"")</f>
        <v>0.14285714285714285</v>
      </c>
      <c r="F9" s="24" t="s">
        <v>34</v>
      </c>
      <c r="G9" s="26" t="s">
        <v>35</v>
      </c>
    </row>
    <row r="11" spans="1:7" ht="18" customHeight="1" x14ac:dyDescent="0.3">
      <c r="A11" s="43" t="s">
        <v>36</v>
      </c>
      <c r="B11" s="43"/>
      <c r="C11" s="43"/>
      <c r="D11" s="43"/>
      <c r="E11" s="43"/>
      <c r="F11" s="43"/>
      <c r="G11" s="43"/>
    </row>
    <row r="12" spans="1:7" ht="43.5" customHeight="1" x14ac:dyDescent="0.3">
      <c r="A12" s="27" t="s">
        <v>37</v>
      </c>
      <c r="B12" s="27" t="s">
        <v>38</v>
      </c>
      <c r="C12" s="27" t="s">
        <v>17</v>
      </c>
    </row>
    <row r="13" spans="1:7" ht="13.5" customHeight="1" x14ac:dyDescent="0.3">
      <c r="A13" s="9" t="s">
        <v>39</v>
      </c>
      <c r="B13" s="28">
        <f>COUNTA(Registo_Feiras!E2:E64)</f>
        <v>63</v>
      </c>
      <c r="C13" s="29"/>
    </row>
    <row r="14" spans="1:7" ht="13.5" customHeight="1" x14ac:dyDescent="0.3">
      <c r="A14" s="9" t="s">
        <v>40</v>
      </c>
      <c r="B14" s="28">
        <f>SUMPRODUCT((Registo_Feiras!E2:E64&lt;&gt;"")/IF(COUNTIF(Registo_Feiras!E2:E64,Registo_Feiras!E2:E64)&gt;0,COUNTIF(Registo_Feiras!E2:E64,Registo_Feiras!E2:E64),1))</f>
        <v>6.9999999999999902</v>
      </c>
      <c r="C14" s="29" t="s">
        <v>41</v>
      </c>
    </row>
    <row r="15" spans="1:7" ht="13.5" customHeight="1" x14ac:dyDescent="0.3">
      <c r="A15" s="9" t="s">
        <v>42</v>
      </c>
      <c r="B15" s="28">
        <f>COUNTIF(Registo_Feiras!G2:G64,"Feminino")</f>
        <v>40</v>
      </c>
      <c r="C15" s="29"/>
    </row>
    <row r="16" spans="1:7" ht="13.5" customHeight="1" x14ac:dyDescent="0.3">
      <c r="A16" s="9" t="s">
        <v>43</v>
      </c>
      <c r="B16" s="28">
        <f>COUNTIF(Registo_Feiras!G2:G64,"Masculino")</f>
        <v>23</v>
      </c>
      <c r="C16" s="29"/>
    </row>
    <row r="17" spans="1:7" ht="13.5" customHeight="1" x14ac:dyDescent="0.3">
      <c r="A17" s="30" t="s">
        <v>44</v>
      </c>
      <c r="B17" s="31">
        <f>IFERROR(SUM(Registo_Feiras!P2:P64),0)</f>
        <v>41961</v>
      </c>
      <c r="C17" s="32"/>
    </row>
    <row r="18" spans="1:7" ht="13.5" customHeight="1" x14ac:dyDescent="0.3">
      <c r="A18" s="30" t="s">
        <v>45</v>
      </c>
      <c r="B18" s="33">
        <f>IFERROR(SUM(Registo_Feiras!L2:L64),0)</f>
        <v>3804</v>
      </c>
      <c r="C18" s="32"/>
    </row>
    <row r="19" spans="1:7" ht="13.5" customHeight="1" x14ac:dyDescent="0.3">
      <c r="A19" s="30" t="s">
        <v>46</v>
      </c>
      <c r="B19" s="34">
        <f>IFERROR(AVERAGEIF(Registo_Feiras!N2:N64,"&gt;"&amp;0),"")</f>
        <v>0.43435173005108024</v>
      </c>
      <c r="C19" s="32" t="s">
        <v>47</v>
      </c>
    </row>
    <row r="20" spans="1:7" ht="13.5" customHeight="1" x14ac:dyDescent="0.3">
      <c r="A20" s="6" t="s">
        <v>48</v>
      </c>
      <c r="B20" s="35">
        <f>COUNTIF(Registo_Feiras!Q2:Q64,"Sim")</f>
        <v>9</v>
      </c>
      <c r="C20" s="36" t="s">
        <v>49</v>
      </c>
    </row>
    <row r="21" spans="1:7" ht="13.5" customHeight="1" x14ac:dyDescent="0.3">
      <c r="A21" s="7" t="s">
        <v>50</v>
      </c>
      <c r="B21" s="37">
        <f>COUNTIF(Registo_Feiras!R2:R64,"Sim — negócio em funcionamento")+COUNTIF(Registo_Feiras!R2:R64,"Sim — novo produto/serviço")</f>
        <v>63</v>
      </c>
      <c r="C21" s="38" t="s">
        <v>51</v>
      </c>
    </row>
    <row r="23" spans="1:7" ht="15" customHeight="1" x14ac:dyDescent="0.3">
      <c r="A23" s="44" t="s">
        <v>52</v>
      </c>
      <c r="B23" s="44"/>
      <c r="C23" s="44"/>
      <c r="D23" s="44"/>
      <c r="E23" s="44"/>
      <c r="F23" s="44"/>
      <c r="G23" s="44"/>
    </row>
  </sheetData>
  <mergeCells count="5">
    <mergeCell ref="A1:G1"/>
    <mergeCell ref="A2:G2"/>
    <mergeCell ref="A5:G5"/>
    <mergeCell ref="A11:G11"/>
    <mergeCell ref="A23:G23"/>
  </mergeCells>
  <pageMargins left="0.75" right="0.75" top="1" bottom="1" header="0.511811023622047" footer="0.511811023622047"/>
  <pageSetup paperSize="9" orientation="portrait" horizontalDpi="300" verticalDpi="30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54c5ab46-7543-4aba-b0fa-79d6a199bef5" xsi:nil="true"/>
    <lcf76f155ced4ddcb4097134ff3c332f xmlns="20d57abc-823c-4051-a81a-1a0a01a8f39e">
      <Terms xmlns="http://schemas.microsoft.com/office/infopath/2007/PartnerControls"/>
    </lcf76f155ced4ddcb4097134ff3c332f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DC8BB5B596CFDD4794B3344F0E8F53A4" ma:contentTypeVersion="15" ma:contentTypeDescription="Criar um novo documento." ma:contentTypeScope="" ma:versionID="9a7078cd21229583650f2264465a1c40">
  <xsd:schema xmlns:xsd="http://www.w3.org/2001/XMLSchema" xmlns:xs="http://www.w3.org/2001/XMLSchema" xmlns:p="http://schemas.microsoft.com/office/2006/metadata/properties" xmlns:ns2="20d57abc-823c-4051-a81a-1a0a01a8f39e" xmlns:ns3="54c5ab46-7543-4aba-b0fa-79d6a199bef5" targetNamespace="http://schemas.microsoft.com/office/2006/metadata/properties" ma:root="true" ma:fieldsID="4e45437c47114f519c494620e3e4bb67" ns2:_="" ns3:_="">
    <xsd:import namespace="20d57abc-823c-4051-a81a-1a0a01a8f39e"/>
    <xsd:import namespace="54c5ab46-7543-4aba-b0fa-79d6a199bef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3:SharedWithUsers" minOccurs="0"/>
                <xsd:element ref="ns3:SharedWithDetails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0d57abc-823c-4051-a81a-1a0a01a8f39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6" nillable="true" ma:displayName="MediaLengthInSeconds" ma:hidden="true" ma:internalName="MediaLengthInSeconds" ma:readOnly="true">
      <xsd:simpleType>
        <xsd:restriction base="dms:Unknown"/>
      </xsd:simpleType>
    </xsd:element>
    <xsd:element name="MediaServiceDateTaken" ma:index="17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9" nillable="true" ma:taxonomy="true" ma:internalName="lcf76f155ced4ddcb4097134ff3c332f" ma:taxonomyFieldName="MediaServiceImageTags" ma:displayName="Etiquetas de Imagem" ma:readOnly="false" ma:fieldId="{5cf76f15-5ced-4ddc-b409-7134ff3c332f}" ma:taxonomyMulti="true" ma:sspId="edc6e55a-975c-4e83-894d-449406ca2714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22" nillable="true" ma:displayName="Location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4c5ab46-7543-4aba-b0fa-79d6a199bef5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Partilhado Com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Detalhes de Partilhado Com" ma:internalName="SharedWithDetails" ma:readOnly="true">
      <xsd:simpleType>
        <xsd:restriction base="dms:Note">
          <xsd:maxLength value="255"/>
        </xsd:restriction>
      </xsd:simpleType>
    </xsd:element>
    <xsd:element name="TaxCatchAll" ma:index="20" nillable="true" ma:displayName="Taxonomy Catch All Column" ma:hidden="true" ma:list="{21a739d7-e82a-41d6-a891-a689fdcdcba6}" ma:internalName="TaxCatchAll" ma:showField="CatchAllData" ma:web="54c5ab46-7543-4aba-b0fa-79d6a199bef5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B170B44F-C666-4844-B255-47EEE53B68BC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031E72F2-0F72-4B77-A6B9-7696198D1566}">
  <ds:schemaRefs>
    <ds:schemaRef ds:uri="http://schemas.microsoft.com/office/2006/metadata/properties"/>
    <ds:schemaRef ds:uri="http://schemas.microsoft.com/office/infopath/2007/PartnerControls"/>
    <ds:schemaRef ds:uri="54c5ab46-7543-4aba-b0fa-79d6a199bef5"/>
    <ds:schemaRef ds:uri="20d57abc-823c-4051-a81a-1a0a01a8f39e"/>
  </ds:schemaRefs>
</ds:datastoreItem>
</file>

<file path=customXml/itemProps3.xml><?xml version="1.0" encoding="utf-8"?>
<ds:datastoreItem xmlns:ds="http://schemas.openxmlformats.org/officeDocument/2006/customXml" ds:itemID="{44FDBFBC-ED57-4785-AAD8-011171A76EC6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20d57abc-823c-4051-a81a-1a0a01a8f39e"/>
    <ds:schemaRef ds:uri="54c5ab46-7543-4aba-b0fa-79d6a199bef5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Registo_Feiras</vt:lpstr>
      <vt:lpstr>Resumo_Feira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>Dionisio Mahumane</cp:lastModifiedBy>
  <cp:revision>0</cp:revision>
  <dcterms:created xsi:type="dcterms:W3CDTF">2026-05-18T08:19:52Z</dcterms:created>
  <dcterms:modified xsi:type="dcterms:W3CDTF">2026-07-06T08:26:42Z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0x010100DC8BB5B596CFDD4794B3344F0E8F53A4</vt:lpwstr>
  </property>
  <property fmtid="{D5CDD505-2E9C-101B-9397-08002B2CF9AE}" pid="3" name="MediaServiceImageTags">
    <vt:lpwstr/>
  </property>
</Properties>
</file>