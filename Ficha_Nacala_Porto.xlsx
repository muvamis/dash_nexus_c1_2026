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muvamozorg.sharepoint.com/sites/mis.drive/Documentos Partilhados/PROJECTOS/Sistema de Monitoria/NEXUS/2026/Dash_Nexus/"/>
    </mc:Choice>
  </mc:AlternateContent>
  <xr:revisionPtr revIDLastSave="9" documentId="11_A086888AC1B86B4DD1D6B076FC7F46488836BB4E" xr6:coauthVersionLast="47" xr6:coauthVersionMax="47" xr10:uidLastSave="{53CE1C99-25C4-4877-891B-EA8E2F87091E}"/>
  <bookViews>
    <workbookView xWindow="-108" yWindow="-108" windowWidth="23256" windowHeight="12456" tabRatio="500" xr2:uid="{00000000-000D-0000-FFFF-FFFF00000000}"/>
  </bookViews>
  <sheets>
    <sheet name="Registo_Feiras" sheetId="1" r:id="rId1"/>
    <sheet name="Resumo_Feir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8" i="1" l="1"/>
  <c r="Q49" i="1"/>
  <c r="Q50" i="1"/>
  <c r="Q51" i="1"/>
  <c r="Q52" i="1"/>
  <c r="Q53" i="1"/>
  <c r="Q54" i="1"/>
  <c r="Q55" i="1"/>
  <c r="Q56" i="1"/>
  <c r="Q57" i="1"/>
  <c r="Q58" i="1"/>
  <c r="Q59" i="1"/>
  <c r="Q47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" i="1"/>
  <c r="O54" i="1"/>
  <c r="N54" i="1"/>
  <c r="O53" i="1"/>
  <c r="N53" i="1"/>
  <c r="O52" i="1"/>
  <c r="N52" i="1"/>
  <c r="O51" i="1"/>
  <c r="N51" i="1"/>
  <c r="O50" i="1"/>
  <c r="N50" i="1"/>
  <c r="O49" i="1"/>
  <c r="N49" i="1"/>
  <c r="O48" i="1"/>
  <c r="N48" i="1"/>
  <c r="O47" i="1"/>
  <c r="N47" i="1"/>
  <c r="O46" i="1"/>
  <c r="N46" i="1"/>
  <c r="O45" i="1"/>
  <c r="N45" i="1"/>
  <c r="O44" i="1"/>
  <c r="N44" i="1"/>
  <c r="O43" i="1"/>
  <c r="N43" i="1"/>
  <c r="O42" i="1" l="1"/>
  <c r="N42" i="1"/>
  <c r="O41" i="1"/>
  <c r="N41" i="1"/>
  <c r="O40" i="1"/>
  <c r="N40" i="1"/>
  <c r="O39" i="1"/>
  <c r="N39" i="1"/>
  <c r="O38" i="1"/>
  <c r="N38" i="1"/>
  <c r="O37" i="1"/>
  <c r="N37" i="1"/>
  <c r="O36" i="1"/>
  <c r="N36" i="1"/>
  <c r="O35" i="1"/>
  <c r="N35" i="1"/>
  <c r="O34" i="1"/>
  <c r="N34" i="1"/>
  <c r="O33" i="1"/>
  <c r="B21" i="2" l="1"/>
  <c r="B20" i="2"/>
  <c r="B18" i="2"/>
  <c r="B16" i="2"/>
  <c r="B15" i="2"/>
  <c r="B14" i="2"/>
  <c r="B13" i="2"/>
  <c r="E9" i="2"/>
  <c r="E8" i="2"/>
  <c r="E7" i="2"/>
  <c r="Q303" i="1"/>
  <c r="O303" i="1"/>
  <c r="N303" i="1"/>
  <c r="Q302" i="1"/>
  <c r="O302" i="1"/>
  <c r="N302" i="1"/>
  <c r="Q301" i="1"/>
  <c r="O301" i="1"/>
  <c r="N301" i="1"/>
  <c r="Q300" i="1"/>
  <c r="O300" i="1"/>
  <c r="N300" i="1"/>
  <c r="Q299" i="1"/>
  <c r="O299" i="1"/>
  <c r="N299" i="1"/>
  <c r="Q298" i="1"/>
  <c r="O298" i="1"/>
  <c r="N298" i="1"/>
  <c r="Q297" i="1"/>
  <c r="O297" i="1"/>
  <c r="N297" i="1"/>
  <c r="Q296" i="1"/>
  <c r="O296" i="1"/>
  <c r="N296" i="1"/>
  <c r="Q295" i="1"/>
  <c r="O295" i="1"/>
  <c r="N295" i="1"/>
  <c r="Q294" i="1"/>
  <c r="O294" i="1"/>
  <c r="N294" i="1"/>
  <c r="Q293" i="1"/>
  <c r="O293" i="1"/>
  <c r="N293" i="1"/>
  <c r="Q292" i="1"/>
  <c r="O292" i="1"/>
  <c r="N292" i="1"/>
  <c r="Q291" i="1"/>
  <c r="O291" i="1"/>
  <c r="N291" i="1"/>
  <c r="Q290" i="1"/>
  <c r="O290" i="1"/>
  <c r="N290" i="1"/>
  <c r="Q289" i="1"/>
  <c r="O289" i="1"/>
  <c r="N289" i="1"/>
  <c r="Q288" i="1"/>
  <c r="O288" i="1"/>
  <c r="N288" i="1"/>
  <c r="Q287" i="1"/>
  <c r="O287" i="1"/>
  <c r="N287" i="1"/>
  <c r="Q286" i="1"/>
  <c r="O286" i="1"/>
  <c r="N286" i="1"/>
  <c r="Q285" i="1"/>
  <c r="O285" i="1"/>
  <c r="N285" i="1"/>
  <c r="Q284" i="1"/>
  <c r="O284" i="1"/>
  <c r="N284" i="1"/>
  <c r="Q283" i="1"/>
  <c r="O283" i="1"/>
  <c r="N283" i="1"/>
  <c r="Q282" i="1"/>
  <c r="O282" i="1"/>
  <c r="N282" i="1"/>
  <c r="Q281" i="1"/>
  <c r="O281" i="1"/>
  <c r="N281" i="1"/>
  <c r="Q280" i="1"/>
  <c r="O280" i="1"/>
  <c r="N280" i="1"/>
  <c r="Q279" i="1"/>
  <c r="O279" i="1"/>
  <c r="N279" i="1"/>
  <c r="Q278" i="1"/>
  <c r="O278" i="1"/>
  <c r="N278" i="1"/>
  <c r="Q277" i="1"/>
  <c r="O277" i="1"/>
  <c r="N277" i="1"/>
  <c r="Q276" i="1"/>
  <c r="O276" i="1"/>
  <c r="N276" i="1"/>
  <c r="Q275" i="1"/>
  <c r="O275" i="1"/>
  <c r="N275" i="1"/>
  <c r="Q274" i="1"/>
  <c r="O274" i="1"/>
  <c r="N274" i="1"/>
  <c r="Q273" i="1"/>
  <c r="O273" i="1"/>
  <c r="N273" i="1"/>
  <c r="Q272" i="1"/>
  <c r="O272" i="1"/>
  <c r="N272" i="1"/>
  <c r="Q271" i="1"/>
  <c r="O271" i="1"/>
  <c r="N271" i="1"/>
  <c r="Q270" i="1"/>
  <c r="O270" i="1"/>
  <c r="N270" i="1"/>
  <c r="Q269" i="1"/>
  <c r="O269" i="1"/>
  <c r="N269" i="1"/>
  <c r="Q268" i="1"/>
  <c r="O268" i="1"/>
  <c r="N268" i="1"/>
  <c r="Q267" i="1"/>
  <c r="O267" i="1"/>
  <c r="N267" i="1"/>
  <c r="Q266" i="1"/>
  <c r="O266" i="1"/>
  <c r="N266" i="1"/>
  <c r="Q265" i="1"/>
  <c r="O265" i="1"/>
  <c r="N265" i="1"/>
  <c r="Q264" i="1"/>
  <c r="O264" i="1"/>
  <c r="N264" i="1"/>
  <c r="Q263" i="1"/>
  <c r="O263" i="1"/>
  <c r="N263" i="1"/>
  <c r="Q262" i="1"/>
  <c r="O262" i="1"/>
  <c r="N262" i="1"/>
  <c r="Q261" i="1"/>
  <c r="O261" i="1"/>
  <c r="N261" i="1"/>
  <c r="Q260" i="1"/>
  <c r="O260" i="1"/>
  <c r="N260" i="1"/>
  <c r="Q259" i="1"/>
  <c r="O259" i="1"/>
  <c r="N259" i="1"/>
  <c r="Q258" i="1"/>
  <c r="O258" i="1"/>
  <c r="N258" i="1"/>
  <c r="Q257" i="1"/>
  <c r="O257" i="1"/>
  <c r="N257" i="1"/>
  <c r="Q256" i="1"/>
  <c r="O256" i="1"/>
  <c r="N256" i="1"/>
  <c r="Q255" i="1"/>
  <c r="O255" i="1"/>
  <c r="N255" i="1"/>
  <c r="Q254" i="1"/>
  <c r="O254" i="1"/>
  <c r="N254" i="1"/>
  <c r="Q253" i="1"/>
  <c r="O253" i="1"/>
  <c r="N253" i="1"/>
  <c r="Q252" i="1"/>
  <c r="O252" i="1"/>
  <c r="N252" i="1"/>
  <c r="Q251" i="1"/>
  <c r="O251" i="1"/>
  <c r="N251" i="1"/>
  <c r="Q250" i="1"/>
  <c r="O250" i="1"/>
  <c r="N250" i="1"/>
  <c r="Q249" i="1"/>
  <c r="O249" i="1"/>
  <c r="N249" i="1"/>
  <c r="Q248" i="1"/>
  <c r="O248" i="1"/>
  <c r="N248" i="1"/>
  <c r="Q247" i="1"/>
  <c r="O247" i="1"/>
  <c r="N247" i="1"/>
  <c r="Q246" i="1"/>
  <c r="O246" i="1"/>
  <c r="N246" i="1"/>
  <c r="Q245" i="1"/>
  <c r="O245" i="1"/>
  <c r="N245" i="1"/>
  <c r="Q244" i="1"/>
  <c r="O244" i="1"/>
  <c r="N244" i="1"/>
  <c r="Q243" i="1"/>
  <c r="O243" i="1"/>
  <c r="N243" i="1"/>
  <c r="Q242" i="1"/>
  <c r="O242" i="1"/>
  <c r="N242" i="1"/>
  <c r="Q241" i="1"/>
  <c r="O241" i="1"/>
  <c r="N241" i="1"/>
  <c r="Q240" i="1"/>
  <c r="O240" i="1"/>
  <c r="N240" i="1"/>
  <c r="Q239" i="1"/>
  <c r="O239" i="1"/>
  <c r="N239" i="1"/>
  <c r="Q238" i="1"/>
  <c r="O238" i="1"/>
  <c r="N238" i="1"/>
  <c r="Q237" i="1"/>
  <c r="O237" i="1"/>
  <c r="N237" i="1"/>
  <c r="Q236" i="1"/>
  <c r="O236" i="1"/>
  <c r="N236" i="1"/>
  <c r="Q235" i="1"/>
  <c r="O235" i="1"/>
  <c r="N235" i="1"/>
  <c r="Q234" i="1"/>
  <c r="O234" i="1"/>
  <c r="N234" i="1"/>
  <c r="Q233" i="1"/>
  <c r="O233" i="1"/>
  <c r="N233" i="1"/>
  <c r="Q232" i="1"/>
  <c r="O232" i="1"/>
  <c r="N232" i="1"/>
  <c r="Q231" i="1"/>
  <c r="O231" i="1"/>
  <c r="N231" i="1"/>
  <c r="Q230" i="1"/>
  <c r="O230" i="1"/>
  <c r="N230" i="1"/>
  <c r="Q229" i="1"/>
  <c r="O229" i="1"/>
  <c r="N229" i="1"/>
  <c r="Q228" i="1"/>
  <c r="O228" i="1"/>
  <c r="N228" i="1"/>
  <c r="Q227" i="1"/>
  <c r="O227" i="1"/>
  <c r="N227" i="1"/>
  <c r="Q226" i="1"/>
  <c r="O226" i="1"/>
  <c r="N226" i="1"/>
  <c r="Q225" i="1"/>
  <c r="O225" i="1"/>
  <c r="N225" i="1"/>
  <c r="Q224" i="1"/>
  <c r="O224" i="1"/>
  <c r="N224" i="1"/>
  <c r="Q223" i="1"/>
  <c r="O223" i="1"/>
  <c r="N223" i="1"/>
  <c r="Q222" i="1"/>
  <c r="O222" i="1"/>
  <c r="N222" i="1"/>
  <c r="Q221" i="1"/>
  <c r="O221" i="1"/>
  <c r="N221" i="1"/>
  <c r="Q220" i="1"/>
  <c r="O220" i="1"/>
  <c r="N220" i="1"/>
  <c r="Q219" i="1"/>
  <c r="O219" i="1"/>
  <c r="N219" i="1"/>
  <c r="Q218" i="1"/>
  <c r="O218" i="1"/>
  <c r="N218" i="1"/>
  <c r="Q217" i="1"/>
  <c r="O217" i="1"/>
  <c r="N217" i="1"/>
  <c r="Q216" i="1"/>
  <c r="O216" i="1"/>
  <c r="N216" i="1"/>
  <c r="Q215" i="1"/>
  <c r="O215" i="1"/>
  <c r="N215" i="1"/>
  <c r="Q214" i="1"/>
  <c r="O214" i="1"/>
  <c r="N214" i="1"/>
  <c r="Q213" i="1"/>
  <c r="O213" i="1"/>
  <c r="N213" i="1"/>
  <c r="Q212" i="1"/>
  <c r="O212" i="1"/>
  <c r="N212" i="1"/>
  <c r="Q211" i="1"/>
  <c r="O211" i="1"/>
  <c r="N211" i="1"/>
  <c r="Q210" i="1"/>
  <c r="O210" i="1"/>
  <c r="N210" i="1"/>
  <c r="Q209" i="1"/>
  <c r="O209" i="1"/>
  <c r="N209" i="1"/>
  <c r="Q208" i="1"/>
  <c r="O208" i="1"/>
  <c r="N208" i="1"/>
  <c r="Q207" i="1"/>
  <c r="O207" i="1"/>
  <c r="N207" i="1"/>
  <c r="Q206" i="1"/>
  <c r="O206" i="1"/>
  <c r="N206" i="1"/>
  <c r="Q205" i="1"/>
  <c r="O205" i="1"/>
  <c r="N205" i="1"/>
  <c r="Q204" i="1"/>
  <c r="O204" i="1"/>
  <c r="N204" i="1"/>
  <c r="Q203" i="1"/>
  <c r="O203" i="1"/>
  <c r="N203" i="1"/>
  <c r="Q202" i="1"/>
  <c r="O202" i="1"/>
  <c r="N202" i="1"/>
  <c r="Q201" i="1"/>
  <c r="O201" i="1"/>
  <c r="N201" i="1"/>
  <c r="Q200" i="1"/>
  <c r="O200" i="1"/>
  <c r="N200" i="1"/>
  <c r="Q199" i="1"/>
  <c r="O199" i="1"/>
  <c r="N199" i="1"/>
  <c r="Q198" i="1"/>
  <c r="O198" i="1"/>
  <c r="N198" i="1"/>
  <c r="Q197" i="1"/>
  <c r="O197" i="1"/>
  <c r="N197" i="1"/>
  <c r="Q196" i="1"/>
  <c r="O196" i="1"/>
  <c r="N196" i="1"/>
  <c r="Q195" i="1"/>
  <c r="O195" i="1"/>
  <c r="N195" i="1"/>
  <c r="Q194" i="1"/>
  <c r="O194" i="1"/>
  <c r="N194" i="1"/>
  <c r="Q193" i="1"/>
  <c r="O193" i="1"/>
  <c r="N193" i="1"/>
  <c r="Q192" i="1"/>
  <c r="O192" i="1"/>
  <c r="N192" i="1"/>
  <c r="Q191" i="1"/>
  <c r="O191" i="1"/>
  <c r="N191" i="1"/>
  <c r="Q190" i="1"/>
  <c r="O190" i="1"/>
  <c r="N190" i="1"/>
  <c r="Q189" i="1"/>
  <c r="O189" i="1"/>
  <c r="N189" i="1"/>
  <c r="Q188" i="1"/>
  <c r="O188" i="1"/>
  <c r="N188" i="1"/>
  <c r="Q187" i="1"/>
  <c r="O187" i="1"/>
  <c r="N187" i="1"/>
  <c r="Q186" i="1"/>
  <c r="O186" i="1"/>
  <c r="N186" i="1"/>
  <c r="Q185" i="1"/>
  <c r="O185" i="1"/>
  <c r="N185" i="1"/>
  <c r="Q184" i="1"/>
  <c r="O184" i="1"/>
  <c r="N184" i="1"/>
  <c r="Q183" i="1"/>
  <c r="O183" i="1"/>
  <c r="N183" i="1"/>
  <c r="Q182" i="1"/>
  <c r="O182" i="1"/>
  <c r="N182" i="1"/>
  <c r="Q181" i="1"/>
  <c r="O181" i="1"/>
  <c r="N181" i="1"/>
  <c r="Q180" i="1"/>
  <c r="O180" i="1"/>
  <c r="N180" i="1"/>
  <c r="Q179" i="1"/>
  <c r="O179" i="1"/>
  <c r="N179" i="1"/>
  <c r="Q178" i="1"/>
  <c r="O178" i="1"/>
  <c r="N178" i="1"/>
  <c r="Q177" i="1"/>
  <c r="O177" i="1"/>
  <c r="N177" i="1"/>
  <c r="Q176" i="1"/>
  <c r="O176" i="1"/>
  <c r="N176" i="1"/>
  <c r="Q175" i="1"/>
  <c r="O175" i="1"/>
  <c r="N175" i="1"/>
  <c r="Q174" i="1"/>
  <c r="O174" i="1"/>
  <c r="N174" i="1"/>
  <c r="Q173" i="1"/>
  <c r="O173" i="1"/>
  <c r="N173" i="1"/>
  <c r="Q172" i="1"/>
  <c r="O172" i="1"/>
  <c r="N172" i="1"/>
  <c r="Q171" i="1"/>
  <c r="O171" i="1"/>
  <c r="N171" i="1"/>
  <c r="Q170" i="1"/>
  <c r="O170" i="1"/>
  <c r="N170" i="1"/>
  <c r="Q169" i="1"/>
  <c r="O169" i="1"/>
  <c r="N169" i="1"/>
  <c r="Q168" i="1"/>
  <c r="O168" i="1"/>
  <c r="N168" i="1"/>
  <c r="Q167" i="1"/>
  <c r="O167" i="1"/>
  <c r="N167" i="1"/>
  <c r="Q166" i="1"/>
  <c r="O166" i="1"/>
  <c r="N166" i="1"/>
  <c r="Q165" i="1"/>
  <c r="O165" i="1"/>
  <c r="N165" i="1"/>
  <c r="Q164" i="1"/>
  <c r="O164" i="1"/>
  <c r="N164" i="1"/>
  <c r="Q163" i="1"/>
  <c r="O163" i="1"/>
  <c r="N163" i="1"/>
  <c r="Q162" i="1"/>
  <c r="O162" i="1"/>
  <c r="N162" i="1"/>
  <c r="Q161" i="1"/>
  <c r="O161" i="1"/>
  <c r="N161" i="1"/>
  <c r="Q160" i="1"/>
  <c r="O160" i="1"/>
  <c r="N160" i="1"/>
  <c r="Q159" i="1"/>
  <c r="O159" i="1"/>
  <c r="N159" i="1"/>
  <c r="Q158" i="1"/>
  <c r="O158" i="1"/>
  <c r="N158" i="1"/>
  <c r="Q157" i="1"/>
  <c r="O157" i="1"/>
  <c r="N157" i="1"/>
  <c r="Q156" i="1"/>
  <c r="O156" i="1"/>
  <c r="N156" i="1"/>
  <c r="Q155" i="1"/>
  <c r="O155" i="1"/>
  <c r="N155" i="1"/>
  <c r="Q154" i="1"/>
  <c r="O154" i="1"/>
  <c r="N154" i="1"/>
  <c r="Q153" i="1"/>
  <c r="O153" i="1"/>
  <c r="N153" i="1"/>
  <c r="Q152" i="1"/>
  <c r="O152" i="1"/>
  <c r="N152" i="1"/>
  <c r="Q151" i="1"/>
  <c r="O151" i="1"/>
  <c r="N151" i="1"/>
  <c r="Q150" i="1"/>
  <c r="O150" i="1"/>
  <c r="N150" i="1"/>
  <c r="Q149" i="1"/>
  <c r="O149" i="1"/>
  <c r="N149" i="1"/>
  <c r="Q148" i="1"/>
  <c r="O148" i="1"/>
  <c r="N148" i="1"/>
  <c r="Q147" i="1"/>
  <c r="O147" i="1"/>
  <c r="N147" i="1"/>
  <c r="Q146" i="1"/>
  <c r="O146" i="1"/>
  <c r="N146" i="1"/>
  <c r="Q145" i="1"/>
  <c r="O145" i="1"/>
  <c r="N145" i="1"/>
  <c r="Q144" i="1"/>
  <c r="O144" i="1"/>
  <c r="N144" i="1"/>
  <c r="Q143" i="1"/>
  <c r="O143" i="1"/>
  <c r="N143" i="1"/>
  <c r="Q142" i="1"/>
  <c r="O142" i="1"/>
  <c r="N142" i="1"/>
  <c r="Q141" i="1"/>
  <c r="O141" i="1"/>
  <c r="N141" i="1"/>
  <c r="Q140" i="1"/>
  <c r="O140" i="1"/>
  <c r="N140" i="1"/>
  <c r="Q139" i="1"/>
  <c r="O139" i="1"/>
  <c r="N139" i="1"/>
  <c r="Q138" i="1"/>
  <c r="O138" i="1"/>
  <c r="N138" i="1"/>
  <c r="Q137" i="1"/>
  <c r="O137" i="1"/>
  <c r="N137" i="1"/>
  <c r="Q136" i="1"/>
  <c r="O136" i="1"/>
  <c r="N136" i="1"/>
  <c r="Q135" i="1"/>
  <c r="O135" i="1"/>
  <c r="N135" i="1"/>
  <c r="Q134" i="1"/>
  <c r="O134" i="1"/>
  <c r="N134" i="1"/>
  <c r="Q133" i="1"/>
  <c r="O133" i="1"/>
  <c r="N133" i="1"/>
  <c r="Q132" i="1"/>
  <c r="O132" i="1"/>
  <c r="N132" i="1"/>
  <c r="Q131" i="1"/>
  <c r="O131" i="1"/>
  <c r="N131" i="1"/>
  <c r="Q130" i="1"/>
  <c r="O130" i="1"/>
  <c r="N130" i="1"/>
  <c r="Q129" i="1"/>
  <c r="O129" i="1"/>
  <c r="N129" i="1"/>
  <c r="Q128" i="1"/>
  <c r="O128" i="1"/>
  <c r="N128" i="1"/>
  <c r="Q127" i="1"/>
  <c r="O127" i="1"/>
  <c r="N127" i="1"/>
  <c r="Q126" i="1"/>
  <c r="O126" i="1"/>
  <c r="N126" i="1"/>
  <c r="Q125" i="1"/>
  <c r="O125" i="1"/>
  <c r="N125" i="1"/>
  <c r="Q124" i="1"/>
  <c r="O124" i="1"/>
  <c r="N124" i="1"/>
  <c r="Q123" i="1"/>
  <c r="O123" i="1"/>
  <c r="N123" i="1"/>
  <c r="Q122" i="1"/>
  <c r="O122" i="1"/>
  <c r="N122" i="1"/>
  <c r="Q121" i="1"/>
  <c r="O121" i="1"/>
  <c r="N121" i="1"/>
  <c r="Q120" i="1"/>
  <c r="O120" i="1"/>
  <c r="N120" i="1"/>
  <c r="Q119" i="1"/>
  <c r="O119" i="1"/>
  <c r="N119" i="1"/>
  <c r="Q118" i="1"/>
  <c r="O118" i="1"/>
  <c r="N118" i="1"/>
  <c r="Q117" i="1"/>
  <c r="O117" i="1"/>
  <c r="N117" i="1"/>
  <c r="Q116" i="1"/>
  <c r="O116" i="1"/>
  <c r="N116" i="1"/>
  <c r="Q115" i="1"/>
  <c r="O115" i="1"/>
  <c r="N115" i="1"/>
  <c r="Q114" i="1"/>
  <c r="O114" i="1"/>
  <c r="N114" i="1"/>
  <c r="Q113" i="1"/>
  <c r="O113" i="1"/>
  <c r="N113" i="1"/>
  <c r="Q112" i="1"/>
  <c r="O112" i="1"/>
  <c r="N112" i="1"/>
  <c r="Q111" i="1"/>
  <c r="O111" i="1"/>
  <c r="N111" i="1"/>
  <c r="Q110" i="1"/>
  <c r="O110" i="1"/>
  <c r="N110" i="1"/>
  <c r="Q109" i="1"/>
  <c r="O109" i="1"/>
  <c r="N109" i="1"/>
  <c r="Q108" i="1"/>
  <c r="O108" i="1"/>
  <c r="N108" i="1"/>
  <c r="Q107" i="1"/>
  <c r="O107" i="1"/>
  <c r="N107" i="1"/>
  <c r="Q106" i="1"/>
  <c r="O106" i="1"/>
  <c r="N106" i="1"/>
  <c r="Q105" i="1"/>
  <c r="O105" i="1"/>
  <c r="N105" i="1"/>
  <c r="Q104" i="1"/>
  <c r="O104" i="1"/>
  <c r="N104" i="1"/>
  <c r="Q103" i="1"/>
  <c r="O103" i="1"/>
  <c r="N103" i="1"/>
  <c r="Q102" i="1"/>
  <c r="O102" i="1"/>
  <c r="N102" i="1"/>
  <c r="Q101" i="1"/>
  <c r="O101" i="1"/>
  <c r="N101" i="1"/>
  <c r="Q100" i="1"/>
  <c r="O100" i="1"/>
  <c r="N100" i="1"/>
  <c r="Q99" i="1"/>
  <c r="O99" i="1"/>
  <c r="N99" i="1"/>
  <c r="Q98" i="1"/>
  <c r="O98" i="1"/>
  <c r="N98" i="1"/>
  <c r="Q97" i="1"/>
  <c r="O97" i="1"/>
  <c r="N97" i="1"/>
  <c r="Q96" i="1"/>
  <c r="O96" i="1"/>
  <c r="N96" i="1"/>
  <c r="Q95" i="1"/>
  <c r="O95" i="1"/>
  <c r="N95" i="1"/>
  <c r="Q94" i="1"/>
  <c r="O94" i="1"/>
  <c r="N94" i="1"/>
  <c r="Q93" i="1"/>
  <c r="O93" i="1"/>
  <c r="N93" i="1"/>
  <c r="Q92" i="1"/>
  <c r="O92" i="1"/>
  <c r="N92" i="1"/>
  <c r="Q91" i="1"/>
  <c r="O91" i="1"/>
  <c r="N91" i="1"/>
  <c r="Q90" i="1"/>
  <c r="O90" i="1"/>
  <c r="N90" i="1"/>
  <c r="Q89" i="1"/>
  <c r="O89" i="1"/>
  <c r="N89" i="1"/>
  <c r="Q88" i="1"/>
  <c r="O88" i="1"/>
  <c r="N88" i="1"/>
  <c r="Q87" i="1"/>
  <c r="O87" i="1"/>
  <c r="N87" i="1"/>
  <c r="Q86" i="1"/>
  <c r="O86" i="1"/>
  <c r="N86" i="1"/>
  <c r="Q85" i="1"/>
  <c r="O85" i="1"/>
  <c r="N85" i="1"/>
  <c r="Q84" i="1"/>
  <c r="O84" i="1"/>
  <c r="N84" i="1"/>
  <c r="Q83" i="1"/>
  <c r="O83" i="1"/>
  <c r="N83" i="1"/>
  <c r="Q82" i="1"/>
  <c r="O82" i="1"/>
  <c r="N82" i="1"/>
  <c r="Q81" i="1"/>
  <c r="O81" i="1"/>
  <c r="N81" i="1"/>
  <c r="Q80" i="1"/>
  <c r="O80" i="1"/>
  <c r="N80" i="1"/>
  <c r="Q79" i="1"/>
  <c r="O79" i="1"/>
  <c r="N79" i="1"/>
  <c r="Q78" i="1"/>
  <c r="O78" i="1"/>
  <c r="N78" i="1"/>
  <c r="Q77" i="1"/>
  <c r="O77" i="1"/>
  <c r="N77" i="1"/>
  <c r="Q76" i="1"/>
  <c r="O76" i="1"/>
  <c r="N76" i="1"/>
  <c r="Q75" i="1"/>
  <c r="O75" i="1"/>
  <c r="N75" i="1"/>
  <c r="Q74" i="1"/>
  <c r="O74" i="1"/>
  <c r="N74" i="1"/>
  <c r="Q73" i="1"/>
  <c r="O73" i="1"/>
  <c r="N73" i="1"/>
  <c r="Q72" i="1"/>
  <c r="O72" i="1"/>
  <c r="N72" i="1"/>
  <c r="Q71" i="1"/>
  <c r="O71" i="1"/>
  <c r="N71" i="1"/>
  <c r="Q70" i="1"/>
  <c r="O70" i="1"/>
  <c r="N70" i="1"/>
  <c r="Q69" i="1"/>
  <c r="O69" i="1"/>
  <c r="N69" i="1"/>
  <c r="Q68" i="1"/>
  <c r="O68" i="1"/>
  <c r="N68" i="1"/>
  <c r="Q67" i="1"/>
  <c r="O67" i="1"/>
  <c r="N67" i="1"/>
  <c r="Q66" i="1"/>
  <c r="O66" i="1"/>
  <c r="N66" i="1"/>
  <c r="Q65" i="1"/>
  <c r="O65" i="1"/>
  <c r="N65" i="1"/>
  <c r="Q64" i="1"/>
  <c r="O64" i="1"/>
  <c r="N64" i="1"/>
  <c r="Q63" i="1"/>
  <c r="O63" i="1"/>
  <c r="N63" i="1"/>
  <c r="Q62" i="1"/>
  <c r="O62" i="1"/>
  <c r="N62" i="1"/>
  <c r="Q61" i="1"/>
  <c r="O61" i="1"/>
  <c r="N61" i="1"/>
  <c r="Q60" i="1"/>
  <c r="B17" i="2" s="1"/>
  <c r="O60" i="1"/>
  <c r="N60" i="1"/>
  <c r="B19" i="2" l="1"/>
</calcChain>
</file>

<file path=xl/sharedStrings.xml><?xml version="1.0" encoding="utf-8"?>
<sst xmlns="http://schemas.openxmlformats.org/spreadsheetml/2006/main" count="791" uniqueCount="278">
  <si>
    <t>PROJECTO FAZER PROSPERAR — FICHA DE MONITORIA: FEIRA COMUNITÁRIA E NETWORKING</t>
  </si>
  <si>
    <t>Uma linha por produto por participante · Preencher no dia da feira · Fonte: indicadores A4-01 · OUT1-01 · OUT3-01</t>
  </si>
  <si>
    <t>Nº</t>
  </si>
  <si>
    <t>Data
da Feira</t>
  </si>
  <si>
    <t>Distrito</t>
  </si>
  <si>
    <t>Local
da Feira</t>
  </si>
  <si>
    <t>Responsável
(Facilitador/a)</t>
  </si>
  <si>
    <t>ID
Participante</t>
  </si>
  <si>
    <t>Nome do/a
Participante</t>
  </si>
  <si>
    <t>Sexo</t>
  </si>
  <si>
    <t>Comunidade /
Localidade</t>
  </si>
  <si>
    <t>Categoria
do Produto</t>
  </si>
  <si>
    <t>Produto
(descrição)</t>
  </si>
  <si>
    <t>Qtd. Inicial
(Kg / Un.)</t>
  </si>
  <si>
    <t>Qtd. Vendida
(Kg / Un.)</t>
  </si>
  <si>
    <t>Qtd. Não
Vendida
[auto]</t>
  </si>
  <si>
    <t>% Vendido
[auto]</t>
  </si>
  <si>
    <t>Preço / Un.
(MZN)</t>
  </si>
  <si>
    <t>Valor Total
Vendido (MZN)
[auto]</t>
  </si>
  <si>
    <t>Estabeleceu novos
contactos /
ligações de mercado?
(OUT3-01)</t>
  </si>
  <si>
    <t>Evidência de aplicação
de habilidades
no negócio?
(OUT1-01)</t>
  </si>
  <si>
    <t>Observações /
Descrição das novas
oportunidades</t>
  </si>
  <si>
    <t>🟢 Verde [auto] = calculado automaticamente    🟠 Laranja (col. R) = OUT3-01: Reinvestimento / novas ligações de mercado    🟡 Amarelo (col. S) = OUT1-01: Aplicação de habilidades no negócio    A4-01 é alimentado pela contagem total de participantes e pelo registo desta ficha</t>
  </si>
  <si>
    <t>GUIA DE PREENCHIMENTO — CATEGORIA DO PRODUTO</t>
  </si>
  <si>
    <t>Categoria</t>
  </si>
  <si>
    <t>Definição</t>
  </si>
  <si>
    <t>Exemplos práticos</t>
  </si>
  <si>
    <t>Como distinguir</t>
  </si>
  <si>
    <t>Alim. perecível
(revenda)</t>
  </si>
  <si>
    <t>Alimentos que estragam rapidamente (dias) sem refrigeração. O participante comprou para revender.</t>
  </si>
  <si>
    <t>Peixe fresco, carne, verduras, legumes, fruta fresca, leite, refeições confeccionadas</t>
  </si>
  <si>
    <t>O produto foi COMPRADO para revenda e deteriora em poucos dias</t>
  </si>
  <si>
    <t>Alim. não perecível
(revenda)</t>
  </si>
  <si>
    <t>Alimentos processados ou secos que se conservam semanas/meses. O participante comprou para revender.</t>
  </si>
  <si>
    <t>Farinha, açúcar, arroz, óleo, feijão, sal, amendoim embalado, especiarias, enlatados</t>
  </si>
  <si>
    <t>O produto foi COMPRADO para revenda e dura semanas ou meses</t>
  </si>
  <si>
    <t>Alim. confeccionado/
preparado</t>
  </si>
  <si>
    <t>Alimentos que foram transformados/cozinhados pelo/a participante. Pode ter comprado os ingredientes, mas o produto final é resultado da sua preparação.</t>
  </si>
  <si>
    <t>Refeições prontas (matapa, xima, frango grelhado), bolos e pão caseiro, amendoim torrado, fruta transformada (polpa, sumos), farinha de milho moída na própria machamba</t>
  </si>
  <si>
    <t>O produto foi TRANSFORMADO/PREPARADO pelo/a participante — distingue-se do perecível (que é revendido sem transformação) e da produção própria (que é vendida em bruto)</t>
  </si>
  <si>
    <t>Produção própria /
Machamba</t>
  </si>
  <si>
    <t>Produtos agrícolas em estado bruto, saídos directamente da machamba do/a participante. Produziu ele/a próprio/a.</t>
  </si>
  <si>
    <t>Milho em espiga, amendoim com casca, mandioca, batata-doce, tomate, cebola, feijão verde, amendoim fresco</t>
  </si>
  <si>
    <t>O produto foi PRODUZIDO pelo/a participante na sua machamba — não foi comprado</t>
  </si>
  <si>
    <t>Vestuário</t>
  </si>
  <si>
    <t>Roupas, tecidos, acessórios de vestuário</t>
  </si>
  <si>
    <t>Capulanas, roupa usada, fatos, sapatos, bolsas</t>
  </si>
  <si>
    <t>—</t>
  </si>
  <si>
    <t>Higiene e limpeza</t>
  </si>
  <si>
    <t>Produtos de higiene pessoal ou limpeza doméstica</t>
  </si>
  <si>
    <t>Sabão, detergente, champô, pasta de dentes, desinfectante</t>
  </si>
  <si>
    <t>Artesanato</t>
  </si>
  <si>
    <t>Produtos feitos à mão pelo/a participante</t>
  </si>
  <si>
    <t>Cestos, esteiras, cerâmica, bordados, objectos decorativos</t>
  </si>
  <si>
    <t>O produto foi FABRICADO manualmente pelo/a participante</t>
  </si>
  <si>
    <t>Outro</t>
  </si>
  <si>
    <t>Qualquer produto que não se enquadre nas categorias acima</t>
  </si>
  <si>
    <t>Especificar nas observações</t>
  </si>
  <si>
    <t>Usar a coluna Observações para descrever</t>
  </si>
  <si>
    <t>PROJECTO FAZER PROSPERAR — RESUMO DA FEIRA COMUNITÁRIA</t>
  </si>
  <si>
    <t>Calculado automaticamente a partir de Registo_Feiras · Contribui para indicadores A4-01 · OUT1-01 · OUT3-01</t>
  </si>
  <si>
    <t>CONTRIBUIÇÃO PARA OS INDICADORES TOC — FAZER PROSPERAR</t>
  </si>
  <si>
    <t>Código</t>
  </si>
  <si>
    <t>Indicador TOC</t>
  </si>
  <si>
    <t>Nível TOC</t>
  </si>
  <si>
    <t>Como esta ficha contribui</t>
  </si>
  <si>
    <t>Valor calculado</t>
  </si>
  <si>
    <t>Meta</t>
  </si>
  <si>
    <t>Nota</t>
  </si>
  <si>
    <t>A4-01</t>
  </si>
  <si>
    <t>1 feira comunitária e evento de networking organizado</t>
  </si>
  <si>
    <t>Actividade</t>
  </si>
  <si>
    <t>Indica se a feira foi realizada: ✅ se existem registos de participantes, ⏳ se ainda não há registo. Número de participantes disponível na linha 14 do resumo.</t>
  </si>
  <si>
    <t>1 evento / 350 part.</t>
  </si>
  <si>
    <t>Confirmar com relatório administrativo do evento</t>
  </si>
  <si>
    <t>OUT1-01</t>
  </si>
  <si>
    <t>50% dos participantes aplicam habilidades em actividades de geração de renda</t>
  </si>
  <si>
    <t>Outcome 1</t>
  </si>
  <si>
    <t>% de participantes com evidência de aplicação de habilidades no negócio (col. S = 'Sim')</t>
  </si>
  <si>
    <t>50% (175 part.)</t>
  </si>
  <si>
    <t>Triangular com Ficha de Mentoria (estado do negócio) e Voz do Participante</t>
  </si>
  <si>
    <t>OUT3-01</t>
  </si>
  <si>
    <t>30% reinvestem rendimentos no negócio ou em oportunidades produtivas</t>
  </si>
  <si>
    <t>Outcome 3</t>
  </si>
  <si>
    <t>% de participantes que estabeleceram novas ligações de mercado na feira (col. R = 'Sim')</t>
  </si>
  <si>
    <t>30% (105 part.)</t>
  </si>
  <si>
    <t>Proxy de reinvestimento — triangular com Ficha de Mentoria (stock e códigos DIV/GEST)</t>
  </si>
  <si>
    <t>TOTAIS GERAIS</t>
  </si>
  <si>
    <t>Indicador operacional</t>
  </si>
  <si>
    <t>Resultado</t>
  </si>
  <si>
    <t>Total de linhas preenchidas (registos produto × participante)</t>
  </si>
  <si>
    <t>Total de participantes únicos na feira</t>
  </si>
  <si>
    <t>Conta ID únicos</t>
  </si>
  <si>
    <t>Participantes do sexo feminino</t>
  </si>
  <si>
    <t>Participantes do sexo masculino</t>
  </si>
  <si>
    <t>Valor total vendido na feira (MZN)</t>
  </si>
  <si>
    <t>Quantidade total vendida (todas as categorias)</t>
  </si>
  <si>
    <t>% média de produto vendido por participante</t>
  </si>
  <si>
    <t>Média da coluna % Vendido</t>
  </si>
  <si>
    <t>Participantes com novas ligações de mercado (OUT3-01)</t>
  </si>
  <si>
    <t>Contribui para OUT3-01</t>
  </si>
  <si>
    <t>Participantes com evidência de aplicação de habilidades (OUT1-01)</t>
  </si>
  <si>
    <t>Contribui para OUT1-01</t>
  </si>
  <si>
    <t>LEGENDA:  🟡 OUT1-01 = Outcome 1 (Inclusão Económica — aplicação de habilidades)    🟠 OUT3-01 = Outcome 3 (Reinvestimento — novas ligações de mercado)    🔵 A4-01 = Actividade 4 (realização da feira)</t>
  </si>
  <si>
    <t>Nacala-a-Porto</t>
  </si>
  <si>
    <t>Praça da independencia</t>
  </si>
  <si>
    <t>Belo Simao Tiago</t>
  </si>
  <si>
    <t>PRJ_0015</t>
  </si>
  <si>
    <t>Maria Adamo</t>
  </si>
  <si>
    <t>Feminino</t>
  </si>
  <si>
    <t>Murrupelane</t>
  </si>
  <si>
    <t>Alim. não perecível (revenda)</t>
  </si>
  <si>
    <t>Cana de acucar</t>
  </si>
  <si>
    <t>Sim</t>
  </si>
  <si>
    <t>Sim — negócio em funcionamento</t>
  </si>
  <si>
    <t>PRJ_0030</t>
  </si>
  <si>
    <t>Neusa Gregorio Muireque</t>
  </si>
  <si>
    <t>Mocone</t>
  </si>
  <si>
    <t>Alim. perecível (revenda)</t>
  </si>
  <si>
    <t>Laranja</t>
  </si>
  <si>
    <t>Neusa Gregorio</t>
  </si>
  <si>
    <t>Banana</t>
  </si>
  <si>
    <t>PRJ_0177</t>
  </si>
  <si>
    <t>Rassul Bacar Firmino</t>
  </si>
  <si>
    <t>Masculino</t>
  </si>
  <si>
    <t xml:space="preserve">Saias de capulana </t>
  </si>
  <si>
    <t>Sim — novo produto/serviço</t>
  </si>
  <si>
    <t>PRJ_0270</t>
  </si>
  <si>
    <t xml:space="preserve">Alfredo Pedro Vantilia </t>
  </si>
  <si>
    <t>Omo</t>
  </si>
  <si>
    <t>Gelinho</t>
  </si>
  <si>
    <t>Fralda descartavel</t>
  </si>
  <si>
    <t>PRJ_0322</t>
  </si>
  <si>
    <t>Salima Rafael Armando Joao</t>
  </si>
  <si>
    <t>Alim. confeccionado/preparado</t>
  </si>
  <si>
    <t>Bolinhos</t>
  </si>
  <si>
    <t>Maheu</t>
  </si>
  <si>
    <t>PRJ_0025</t>
  </si>
  <si>
    <t>Amelia Afonso Momade</t>
  </si>
  <si>
    <t>Massa esparguete</t>
  </si>
  <si>
    <t>Nick nack</t>
  </si>
  <si>
    <t>Doces</t>
  </si>
  <si>
    <t>Caldo</t>
  </si>
  <si>
    <t>Praça dos Heróis</t>
  </si>
  <si>
    <t xml:space="preserve">Magrofate Justino </t>
  </si>
  <si>
    <t>PRJ_0053</t>
  </si>
  <si>
    <t xml:space="preserve">Fatima Henriques Mascate </t>
  </si>
  <si>
    <t xml:space="preserve">Mathápue </t>
  </si>
  <si>
    <t>Banana madura</t>
  </si>
  <si>
    <t xml:space="preserve">Era a sua primeira vez a vender só tinha como ideias do seu plano de Negócios como adicional. </t>
  </si>
  <si>
    <t>Fatima Henriques Mascate</t>
  </si>
  <si>
    <t>Laranjas</t>
  </si>
  <si>
    <t>Igualmente era sua primeira experiência a vender mas tinha como ideia adicional .</t>
  </si>
  <si>
    <t xml:space="preserve">Praça dos Heróis </t>
  </si>
  <si>
    <t xml:space="preserve">PRJ_0053 </t>
  </si>
  <si>
    <t>Carteira móvel (e-mola)</t>
  </si>
  <si>
    <t>Era o negocio que fazia desde o início sas mentorias.</t>
  </si>
  <si>
    <t>PRJ_220</t>
  </si>
  <si>
    <t>Paulo Guilherme</t>
  </si>
  <si>
    <t xml:space="preserve">Mocone </t>
  </si>
  <si>
    <t>Bolachas</t>
  </si>
  <si>
    <t xml:space="preserve">Vendeu e idententicou nova loja fornecedora e a preços acessicel </t>
  </si>
  <si>
    <t>PRJ_0220</t>
  </si>
  <si>
    <t xml:space="preserve">caldos </t>
  </si>
  <si>
    <t>troca de contactos entre colegas que expunha.</t>
  </si>
  <si>
    <t xml:space="preserve">Paulo Guilherme </t>
  </si>
  <si>
    <t>doces</t>
  </si>
  <si>
    <t>vendeu mas sai mais em casa, disse.</t>
  </si>
  <si>
    <t xml:space="preserve">PRJ_0220 </t>
  </si>
  <si>
    <t>Fraldas (descartaveis)</t>
  </si>
  <si>
    <t>Não</t>
  </si>
  <si>
    <t>Nao chegou de vender sequer algum.</t>
  </si>
  <si>
    <t>PRJ_0061</t>
  </si>
  <si>
    <t xml:space="preserve">Anchita Abdala </t>
  </si>
  <si>
    <t xml:space="preserve">Em progresso </t>
  </si>
  <si>
    <t xml:space="preserve">Bananas </t>
  </si>
  <si>
    <t xml:space="preserve">PRJ_0061 </t>
  </si>
  <si>
    <t>Tangerinas</t>
  </si>
  <si>
    <t>Praça dos heróis</t>
  </si>
  <si>
    <t xml:space="preserve">Vanil  Horácio </t>
  </si>
  <si>
    <t>PRJ_0236</t>
  </si>
  <si>
    <t xml:space="preserve">Jordania Jorge João </t>
  </si>
  <si>
    <t xml:space="preserve">Triângulo </t>
  </si>
  <si>
    <t xml:space="preserve">Alimentício </t>
  </si>
  <si>
    <t>Arroz e feijão cuzido</t>
  </si>
  <si>
    <t>A participante conseguiu adquirir certas informações referentes a tratamento de NUIT a mesma pretende usar para abrir uma conta bancaria para quansar seu dinheiro.</t>
  </si>
  <si>
    <t>Praça dos herois</t>
  </si>
  <si>
    <t xml:space="preserve">Vanil Horácio </t>
  </si>
  <si>
    <t xml:space="preserve">Arroz feição e frango </t>
  </si>
  <si>
    <t>sim</t>
  </si>
  <si>
    <t xml:space="preserve">Praça dos heróis </t>
  </si>
  <si>
    <t>PRJ_0191</t>
  </si>
  <si>
    <t>Mique Abdala</t>
  </si>
  <si>
    <t xml:space="preserve">Calçados </t>
  </si>
  <si>
    <t xml:space="preserve">Sapatos </t>
  </si>
  <si>
    <t>O participante teve uma atenção especial do administrador do distrito referente ao negócio que ele esta a fazer, foi questionado sobre o loxal de levantamento dos seus produtos, e ele respodeu que faz o levantamento anivel da urbe da cidade, o administrador sugerio ao participantes para comcorer ao FDEL.</t>
  </si>
  <si>
    <t xml:space="preserve">Vestuário </t>
  </si>
  <si>
    <t>Camisa</t>
  </si>
  <si>
    <t>PRJ_0106</t>
  </si>
  <si>
    <t>Fina Sualehe</t>
  </si>
  <si>
    <t xml:space="preserve">feijão </t>
  </si>
  <si>
    <t>PRJ_0154</t>
  </si>
  <si>
    <t>Amade Trage Ibraimo</t>
  </si>
  <si>
    <t xml:space="preserve">Doces de coco e açúcar </t>
  </si>
  <si>
    <t>O participante conseguio tratar o seu NUIT, conseguio registar um novo cartão com o seu próprio nome para abrir uma conta movel, antigamente ele usava cartão do seu tio.</t>
  </si>
  <si>
    <t xml:space="preserve">Nuchate Chico Estevão </t>
  </si>
  <si>
    <t>PRJ_0333</t>
  </si>
  <si>
    <t xml:space="preserve">Celestina José </t>
  </si>
  <si>
    <t xml:space="preserve">Naherenque </t>
  </si>
  <si>
    <t xml:space="preserve">Feijão Fava </t>
  </si>
  <si>
    <t xml:space="preserve">A PARTICIPANTE CONSEGUIU REGISTAR A SI E SEU FILHO </t>
  </si>
  <si>
    <t>PRJ_0307</t>
  </si>
  <si>
    <t>Juma Amisse</t>
  </si>
  <si>
    <t xml:space="preserve">Amendoim seco </t>
  </si>
  <si>
    <t>PRJ_0076</t>
  </si>
  <si>
    <t>Rabia Almasse</t>
  </si>
  <si>
    <t xml:space="preserve">Laranja </t>
  </si>
  <si>
    <t>PRJ_0336</t>
  </si>
  <si>
    <t xml:space="preserve">Fenísia Júlia Júlio  </t>
  </si>
  <si>
    <t xml:space="preserve">Ontupaia </t>
  </si>
  <si>
    <t xml:space="preserve">Bolinhos fritos </t>
  </si>
  <si>
    <t>PRJ_0280</t>
  </si>
  <si>
    <t xml:space="preserve">Momade Saide </t>
  </si>
  <si>
    <t xml:space="preserve">Vestidos para criança </t>
  </si>
  <si>
    <t xml:space="preserve">Vestidos para adulto </t>
  </si>
  <si>
    <t xml:space="preserve">Saia para criança </t>
  </si>
  <si>
    <t>PRJ_0044</t>
  </si>
  <si>
    <t xml:space="preserve">Laura Paulo  </t>
  </si>
  <si>
    <t xml:space="preserve">Xima com peixe refogado </t>
  </si>
  <si>
    <t>PRJ_0058</t>
  </si>
  <si>
    <t xml:space="preserve">Sônia Paulo </t>
  </si>
  <si>
    <t xml:space="preserve">Badjias </t>
  </si>
  <si>
    <t>Praca Municipal</t>
  </si>
  <si>
    <t>Tairaha Domingos</t>
  </si>
  <si>
    <t>PRJ_0001</t>
  </si>
  <si>
    <t xml:space="preserve">Olga Eduardo </t>
  </si>
  <si>
    <t>Mathapue1</t>
  </si>
  <si>
    <t>Mecha</t>
  </si>
  <si>
    <t>Tinha estoque visivel, produtos bem organizados e boa comunicacao com os clientes.</t>
  </si>
  <si>
    <t>Praca municipal</t>
  </si>
  <si>
    <t xml:space="preserve">Fatima Henriques </t>
  </si>
  <si>
    <t>Tinha uma placa que ilustrava o emola, as frutas bem organizadas na bandeja e frutas de qualidade.</t>
  </si>
  <si>
    <t>PRJ_0017</t>
  </si>
  <si>
    <t>Amida Agostinho</t>
  </si>
  <si>
    <t>Tomate</t>
  </si>
  <si>
    <t>os produtos eram frescos e estavam bem organizados e os precos tambem eram acessiveis.</t>
  </si>
  <si>
    <t>Cebola</t>
  </si>
  <si>
    <t>Pimento</t>
  </si>
  <si>
    <t>Coco</t>
  </si>
  <si>
    <t>PRJ_0240</t>
  </si>
  <si>
    <t>Elchama Maria Augusto</t>
  </si>
  <si>
    <t>Mathapue2</t>
  </si>
  <si>
    <t>Vasos artesanais</t>
  </si>
  <si>
    <t>Os vasos estavam organizados e bem apresentados.</t>
  </si>
  <si>
    <t>PRJ_0142</t>
  </si>
  <si>
    <t>Zainabo Saide</t>
  </si>
  <si>
    <t>A bandeja das laranjas estava bem organizada e as os produtos aparentavam estar frescos.</t>
  </si>
  <si>
    <t>Mandioca</t>
  </si>
  <si>
    <t>Nacala-Porto</t>
  </si>
  <si>
    <t xml:space="preserve">Armando  Roaneque </t>
  </si>
  <si>
    <t>PRJ_0316</t>
  </si>
  <si>
    <t>Fatima Abudo</t>
  </si>
  <si>
    <t xml:space="preserve">Nauaia </t>
  </si>
  <si>
    <t xml:space="preserve">Perecível </t>
  </si>
  <si>
    <t>Mandioca fresca</t>
  </si>
  <si>
    <t>Mateve parceiras com produtores locais para fornecimento dos produtos: Mandioca, verduras, tomate.</t>
  </si>
  <si>
    <t xml:space="preserve">Armando Roaneque </t>
  </si>
  <si>
    <t>PRJ_0323</t>
  </si>
  <si>
    <t xml:space="preserve">Neusa Benedito </t>
  </si>
  <si>
    <t>Manteve parcerias com produtores e fornecedores locais para facilitar a aquisição dos produtos para revender.</t>
  </si>
  <si>
    <t xml:space="preserve">Nacala-Porto </t>
  </si>
  <si>
    <t>PRJ_0317</t>
  </si>
  <si>
    <t xml:space="preserve">Telma Rafael </t>
  </si>
  <si>
    <t xml:space="preserve">Bolinhos </t>
  </si>
  <si>
    <t xml:space="preserve">Fez registo da Cédula, vendas, e troca de experiências com outras vendedoras de bolinhos de outras comunidades. </t>
  </si>
  <si>
    <t>Mussa Rachide</t>
  </si>
  <si>
    <t xml:space="preserve">Mateve contacto com outros vendedores de diferentes produtos, troca de experiências com outras comunidades no âmbito dos negócios. </t>
  </si>
  <si>
    <t>30/06/2026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</si>
</sst>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i/>
      <sz val="9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i/>
      <sz val="8"/>
      <color rgb="FF000000"/>
      <name val="Arial"/>
      <family val="2"/>
    </font>
    <font>
      <b/>
      <sz val="10"/>
      <color rgb="FFFFFFFF"/>
      <name val="Arial"/>
      <family val="2"/>
    </font>
    <font>
      <b/>
      <sz val="9"/>
      <color rgb="FF000000"/>
      <name val="Arial"/>
      <family val="2"/>
    </font>
    <font>
      <i/>
      <sz val="9"/>
      <color rgb="FF000000"/>
      <name val="Arial"/>
      <family val="2"/>
    </font>
    <font>
      <b/>
      <sz val="9"/>
      <name val="Arial"/>
      <family val="2"/>
    </font>
    <font>
      <sz val="11"/>
      <name val="Calibri"/>
    </font>
    <font>
      <sz val="8"/>
      <name val="Calibri"/>
      <family val="2"/>
      <charset val="1"/>
    </font>
  </fonts>
  <fills count="16">
    <fill>
      <patternFill patternType="none"/>
    </fill>
    <fill>
      <patternFill patternType="gray125"/>
    </fill>
    <fill>
      <patternFill patternType="solid">
        <fgColor rgb="FF1B3A4B"/>
        <bgColor rgb="FF154360"/>
      </patternFill>
    </fill>
    <fill>
      <patternFill patternType="solid">
        <fgColor rgb="FF2E6DA4"/>
        <bgColor rgb="FF3366FF"/>
      </patternFill>
    </fill>
    <fill>
      <patternFill patternType="solid">
        <fgColor rgb="FF154360"/>
        <bgColor rgb="FF1B3A4B"/>
      </patternFill>
    </fill>
    <fill>
      <patternFill patternType="solid">
        <fgColor rgb="FFEBF5FB"/>
        <bgColor rgb="FFEAF2FF"/>
      </patternFill>
    </fill>
    <fill>
      <patternFill patternType="solid">
        <fgColor rgb="FFD5F5E3"/>
        <bgColor rgb="FFD6EAF8"/>
      </patternFill>
    </fill>
    <fill>
      <patternFill patternType="solid">
        <fgColor rgb="FFFDF2E9"/>
        <bgColor rgb="FFFEF9E7"/>
      </patternFill>
    </fill>
    <fill>
      <patternFill patternType="solid">
        <fgColor rgb="FFFEF9E7"/>
        <bgColor rgb="FFFDF2E9"/>
      </patternFill>
    </fill>
    <fill>
      <patternFill patternType="solid">
        <fgColor rgb="FFFAFAFA"/>
        <bgColor rgb="FFF8F9FA"/>
      </patternFill>
    </fill>
    <fill>
      <patternFill patternType="solid">
        <fgColor rgb="FFFDFEFE"/>
        <bgColor rgb="FFFFFFFF"/>
      </patternFill>
    </fill>
    <fill>
      <patternFill patternType="solid">
        <fgColor rgb="FFE9F7EF"/>
        <bgColor rgb="FFEBF5FB"/>
      </patternFill>
    </fill>
    <fill>
      <patternFill patternType="solid">
        <fgColor rgb="FFF5F5F5"/>
        <bgColor rgb="FFF8F9FA"/>
      </patternFill>
    </fill>
    <fill>
      <patternFill patternType="solid">
        <fgColor rgb="FFEAF2FF"/>
        <bgColor rgb="FFEBF5FB"/>
      </patternFill>
    </fill>
    <fill>
      <patternFill patternType="solid">
        <fgColor rgb="FFD6EAF8"/>
        <bgColor rgb="FFD5F5E3"/>
      </patternFill>
    </fill>
    <fill>
      <patternFill patternType="solid">
        <fgColor rgb="FFF8F9FA"/>
        <bgColor rgb="FFFAFAFA"/>
      </patternFill>
    </fill>
  </fills>
  <borders count="7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/>
      <top style="thin">
        <color rgb="FFBDBDBD"/>
      </top>
      <bottom style="thin">
        <color rgb="FFBDBDBD"/>
      </bottom>
      <diagonal/>
    </border>
    <border>
      <left/>
      <right/>
      <top style="thin">
        <color rgb="FFBDBDBD"/>
      </top>
      <bottom style="thin">
        <color rgb="FFBDBDBD"/>
      </bottom>
      <diagonal/>
    </border>
    <border>
      <left style="thin">
        <color rgb="FFBDBDBD"/>
      </left>
      <right style="thin">
        <color rgb="FFBDBDBD"/>
      </right>
      <top/>
      <bottom style="thin">
        <color rgb="FFBDBDBD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/>
      <diagonal/>
    </border>
    <border>
      <left style="thin">
        <color rgb="FFBDBDBD"/>
      </left>
      <right style="thin">
        <color rgb="FFBDBDBD"/>
      </right>
      <top/>
      <bottom/>
      <diagonal/>
    </border>
  </borders>
  <cellStyleXfs count="2">
    <xf numFmtId="0" fontId="0" fillId="0" borderId="0"/>
    <xf numFmtId="0" fontId="10" fillId="0" borderId="0">
      <alignment vertical="center"/>
    </xf>
  </cellStyleXfs>
  <cellXfs count="73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9" fontId="4" fillId="6" borderId="1" xfId="0" applyNumberFormat="1" applyFont="1" applyFill="1" applyBorder="1" applyAlignment="1">
      <alignment horizontal="center" vertical="center"/>
    </xf>
    <xf numFmtId="3" fontId="4" fillId="6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7" fillId="11" borderId="1" xfId="0" applyFont="1" applyFill="1" applyBorder="1" applyAlignment="1">
      <alignment horizontal="left" vertical="top" wrapText="1"/>
    </xf>
    <xf numFmtId="0" fontId="4" fillId="11" borderId="1" xfId="0" applyFont="1" applyFill="1" applyBorder="1" applyAlignment="1">
      <alignment horizontal="left" vertical="top" wrapText="1"/>
    </xf>
    <xf numFmtId="0" fontId="7" fillId="9" borderId="1" xfId="0" applyFont="1" applyFill="1" applyBorder="1" applyAlignment="1">
      <alignment horizontal="left" vertical="top" wrapText="1"/>
    </xf>
    <xf numFmtId="0" fontId="4" fillId="9" borderId="1" xfId="0" applyFont="1" applyFill="1" applyBorder="1" applyAlignment="1">
      <alignment horizontal="left" vertical="top" wrapText="1"/>
    </xf>
    <xf numFmtId="0" fontId="7" fillId="8" borderId="1" xfId="0" applyFont="1" applyFill="1" applyBorder="1" applyAlignment="1">
      <alignment horizontal="left" vertical="top" wrapText="1"/>
    </xf>
    <xf numFmtId="0" fontId="4" fillId="8" borderId="1" xfId="0" applyFont="1" applyFill="1" applyBorder="1" applyAlignment="1">
      <alignment horizontal="left" vertical="top" wrapText="1"/>
    </xf>
    <xf numFmtId="0" fontId="7" fillId="12" borderId="1" xfId="0" applyFont="1" applyFill="1" applyBorder="1" applyAlignment="1">
      <alignment horizontal="left" vertical="top" wrapText="1"/>
    </xf>
    <xf numFmtId="0" fontId="4" fillId="12" borderId="1" xfId="0" applyFont="1" applyFill="1" applyBorder="1" applyAlignment="1">
      <alignment horizontal="left" vertical="top" wrapText="1"/>
    </xf>
    <xf numFmtId="0" fontId="8" fillId="12" borderId="2" xfId="0" applyFont="1" applyFill="1" applyBorder="1" applyAlignment="1">
      <alignment horizontal="left" vertical="top" wrapText="1"/>
    </xf>
    <xf numFmtId="0" fontId="0" fillId="0" borderId="3" xfId="0" applyBorder="1"/>
    <xf numFmtId="0" fontId="4" fillId="12" borderId="2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left" vertical="center"/>
    </xf>
    <xf numFmtId="0" fontId="4" fillId="13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/>
    </xf>
    <xf numFmtId="9" fontId="7" fillId="8" borderId="1" xfId="0" applyNumberFormat="1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/>
    </xf>
    <xf numFmtId="9" fontId="7" fillId="7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left" vertical="center"/>
    </xf>
    <xf numFmtId="0" fontId="4" fillId="14" borderId="1" xfId="0" applyFont="1" applyFill="1" applyBorder="1" applyAlignment="1">
      <alignment horizontal="left" vertical="center"/>
    </xf>
    <xf numFmtId="3" fontId="7" fillId="14" borderId="1" xfId="0" applyNumberFormat="1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left" vertical="center"/>
    </xf>
    <xf numFmtId="0" fontId="7" fillId="14" borderId="1" xfId="0" applyFont="1" applyFill="1" applyBorder="1" applyAlignment="1">
      <alignment horizontal="center" vertical="center"/>
    </xf>
    <xf numFmtId="9" fontId="7" fillId="14" borderId="1" xfId="0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/>
    </xf>
    <xf numFmtId="14" fontId="4" fillId="5" borderId="1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left" vertical="top" wrapText="1"/>
    </xf>
    <xf numFmtId="0" fontId="4" fillId="5" borderId="2" xfId="0" applyFont="1" applyFill="1" applyBorder="1" applyAlignment="1">
      <alignment horizontal="left" vertical="top" wrapText="1"/>
    </xf>
    <xf numFmtId="0" fontId="8" fillId="8" borderId="2" xfId="0" applyFont="1" applyFill="1" applyBorder="1" applyAlignment="1">
      <alignment horizontal="left" vertical="top" wrapText="1"/>
    </xf>
    <xf numFmtId="0" fontId="4" fillId="8" borderId="2" xfId="0" applyFont="1" applyFill="1" applyBorder="1" applyAlignment="1">
      <alignment horizontal="left" vertical="top" wrapText="1"/>
    </xf>
    <xf numFmtId="0" fontId="8" fillId="11" borderId="2" xfId="0" applyFont="1" applyFill="1" applyBorder="1" applyAlignment="1">
      <alignment horizontal="left" vertical="top" wrapText="1"/>
    </xf>
    <xf numFmtId="0" fontId="4" fillId="11" borderId="2" xfId="0" applyFont="1" applyFill="1" applyBorder="1" applyAlignment="1">
      <alignment horizontal="left" vertical="top" wrapText="1"/>
    </xf>
    <xf numFmtId="0" fontId="8" fillId="9" borderId="2" xfId="0" applyFont="1" applyFill="1" applyBorder="1" applyAlignment="1">
      <alignment horizontal="left" vertical="top" wrapText="1"/>
    </xf>
    <xf numFmtId="0" fontId="4" fillId="9" borderId="2" xfId="0" applyFont="1" applyFill="1" applyBorder="1" applyAlignment="1">
      <alignment horizontal="left" vertical="top" wrapText="1"/>
    </xf>
    <xf numFmtId="0" fontId="6" fillId="4" borderId="0" xfId="0" applyFont="1" applyFill="1" applyAlignment="1">
      <alignment horizontal="left" vertical="center"/>
    </xf>
    <xf numFmtId="0" fontId="5" fillId="15" borderId="0" xfId="0" applyFont="1" applyFill="1" applyAlignment="1">
      <alignment horizontal="left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DFEFE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BDBD"/>
      <rgbColor rgb="FF808080"/>
      <rgbColor rgb="FF9999FF"/>
      <rgbColor rgb="FF993366"/>
      <rgbColor rgb="FFFEF9E7"/>
      <rgbColor rgb="FFD6EAF8"/>
      <rgbColor rgb="FF660066"/>
      <rgbColor rgb="FFFF8080"/>
      <rgbColor rgb="FF2E6DA4"/>
      <rgbColor rgb="FFEAF2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F7EF"/>
      <rgbColor rgb="FFD5F5E3"/>
      <rgbColor rgb="FFFDF2E9"/>
      <rgbColor rgb="FFEBF5FB"/>
      <rgbColor rgb="FFF8F9FA"/>
      <rgbColor rgb="FFFAFAFA"/>
      <rgbColor rgb="FFF5F5F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54360"/>
      <rgbColor rgb="FF1E8449"/>
      <rgbColor rgb="FF003300"/>
      <rgbColor rgb="FF333300"/>
      <rgbColor rgb="FF993300"/>
      <rgbColor rgb="FF993366"/>
      <rgbColor rgb="FF333399"/>
      <rgbColor rgb="FF1B3A4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3A4B"/>
  </sheetPr>
  <dimension ref="A1:T317"/>
  <sheetViews>
    <sheetView showGridLines="0" tabSelected="1" topLeftCell="H1" zoomScaleNormal="100" workbookViewId="0">
      <pane ySplit="3" topLeftCell="A61" activePane="bottomLeft" state="frozen"/>
      <selection pane="bottomLeft" activeCell="B4" sqref="B4:T59"/>
    </sheetView>
  </sheetViews>
  <sheetFormatPr defaultColWidth="8.5546875" defaultRowHeight="14.4" x14ac:dyDescent="0.3"/>
  <cols>
    <col min="1" max="1" width="4" customWidth="1"/>
    <col min="2" max="2" width="32" customWidth="1"/>
    <col min="3" max="3" width="12" customWidth="1"/>
    <col min="4" max="4" width="18.88671875" customWidth="1"/>
    <col min="5" max="5" width="18.33203125" customWidth="1"/>
    <col min="6" max="6" width="12" customWidth="1"/>
    <col min="7" max="7" width="22.44140625" customWidth="1"/>
    <col min="8" max="8" width="8" customWidth="1"/>
    <col min="9" max="9" width="13" customWidth="1"/>
    <col min="10" max="10" width="23.109375" customWidth="1"/>
    <col min="11" max="11" width="14.44140625" customWidth="1"/>
    <col min="12" max="12" width="9.5546875" customWidth="1"/>
    <col min="13" max="13" width="9.77734375" customWidth="1"/>
    <col min="14" max="14" width="11" customWidth="1"/>
    <col min="15" max="15" width="9" customWidth="1"/>
    <col min="16" max="16" width="11" customWidth="1"/>
    <col min="17" max="17" width="14" customWidth="1"/>
    <col min="18" max="18" width="16" customWidth="1"/>
    <col min="19" max="19" width="25.77734375" customWidth="1"/>
    <col min="20" max="20" width="28" customWidth="1"/>
  </cols>
  <sheetData>
    <row r="1" spans="1:20" ht="30" customHeight="1" x14ac:dyDescent="0.3">
      <c r="A1" s="54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</row>
    <row r="2" spans="1:20" ht="15" customHeight="1" x14ac:dyDescent="0.3">
      <c r="A2" s="55" t="s">
        <v>1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</row>
    <row r="3" spans="1:20" ht="43.5" customHeight="1" x14ac:dyDescent="0.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</row>
    <row r="4" spans="1:20" ht="13.5" customHeight="1" x14ac:dyDescent="0.3">
      <c r="A4" s="3">
        <v>1</v>
      </c>
      <c r="B4" s="53" t="s">
        <v>277</v>
      </c>
      <c r="C4" s="3" t="s">
        <v>104</v>
      </c>
      <c r="D4" s="3" t="s">
        <v>105</v>
      </c>
      <c r="E4" s="3" t="s">
        <v>106</v>
      </c>
      <c r="F4" s="3" t="s">
        <v>107</v>
      </c>
      <c r="G4" s="3" t="s">
        <v>108</v>
      </c>
      <c r="H4" s="3" t="s">
        <v>109</v>
      </c>
      <c r="I4" s="3" t="s">
        <v>110</v>
      </c>
      <c r="J4" s="3" t="s">
        <v>111</v>
      </c>
      <c r="K4" s="3" t="s">
        <v>112</v>
      </c>
      <c r="L4" s="3">
        <v>15</v>
      </c>
      <c r="M4" s="3">
        <v>10</v>
      </c>
      <c r="N4" s="4">
        <v>5</v>
      </c>
      <c r="O4" s="5">
        <v>0.67</v>
      </c>
      <c r="P4" s="3">
        <v>10</v>
      </c>
      <c r="Q4" s="6">
        <f>M4*P4</f>
        <v>100</v>
      </c>
      <c r="R4" s="7" t="s">
        <v>113</v>
      </c>
      <c r="S4" s="8" t="s">
        <v>114</v>
      </c>
      <c r="T4" s="9"/>
    </row>
    <row r="5" spans="1:20" ht="13.5" customHeight="1" x14ac:dyDescent="0.3">
      <c r="A5" s="10">
        <v>2</v>
      </c>
      <c r="B5" s="53" t="s">
        <v>277</v>
      </c>
      <c r="C5" s="10" t="s">
        <v>104</v>
      </c>
      <c r="D5" s="10" t="s">
        <v>105</v>
      </c>
      <c r="E5" s="10" t="s">
        <v>106</v>
      </c>
      <c r="F5" s="10" t="s">
        <v>115</v>
      </c>
      <c r="G5" s="10" t="s">
        <v>116</v>
      </c>
      <c r="H5" s="10" t="s">
        <v>109</v>
      </c>
      <c r="I5" s="10" t="s">
        <v>117</v>
      </c>
      <c r="J5" s="10" t="s">
        <v>118</v>
      </c>
      <c r="K5" s="10" t="s">
        <v>119</v>
      </c>
      <c r="L5" s="10">
        <v>28</v>
      </c>
      <c r="M5" s="10">
        <v>10</v>
      </c>
      <c r="N5" s="4">
        <v>18</v>
      </c>
      <c r="O5" s="5">
        <v>0.36</v>
      </c>
      <c r="P5" s="10">
        <v>5</v>
      </c>
      <c r="Q5" s="6">
        <f t="shared" ref="Q5:Q46" si="0">M5*P5</f>
        <v>50</v>
      </c>
      <c r="R5" s="7" t="s">
        <v>113</v>
      </c>
      <c r="S5" s="8" t="s">
        <v>114</v>
      </c>
      <c r="T5" s="11"/>
    </row>
    <row r="6" spans="1:20" ht="13.5" customHeight="1" x14ac:dyDescent="0.3">
      <c r="A6" s="3">
        <v>3</v>
      </c>
      <c r="B6" s="53" t="s">
        <v>277</v>
      </c>
      <c r="C6" s="3" t="s">
        <v>104</v>
      </c>
      <c r="D6" s="3" t="s">
        <v>105</v>
      </c>
      <c r="E6" s="3" t="s">
        <v>106</v>
      </c>
      <c r="F6" s="3" t="s">
        <v>115</v>
      </c>
      <c r="G6" s="3" t="s">
        <v>120</v>
      </c>
      <c r="H6" s="3" t="s">
        <v>109</v>
      </c>
      <c r="I6" s="3" t="s">
        <v>117</v>
      </c>
      <c r="J6" s="3" t="s">
        <v>118</v>
      </c>
      <c r="K6" s="3" t="s">
        <v>121</v>
      </c>
      <c r="L6" s="3">
        <v>16</v>
      </c>
      <c r="M6" s="3">
        <v>10</v>
      </c>
      <c r="N6" s="4">
        <v>6</v>
      </c>
      <c r="O6" s="5">
        <v>0.63</v>
      </c>
      <c r="P6" s="3">
        <v>5</v>
      </c>
      <c r="Q6" s="6">
        <f t="shared" si="0"/>
        <v>50</v>
      </c>
      <c r="R6" s="7" t="s">
        <v>113</v>
      </c>
      <c r="S6" s="8" t="s">
        <v>114</v>
      </c>
      <c r="T6" s="9"/>
    </row>
    <row r="7" spans="1:20" ht="13.5" customHeight="1" x14ac:dyDescent="0.3">
      <c r="A7" s="10">
        <v>4</v>
      </c>
      <c r="B7" s="53" t="s">
        <v>277</v>
      </c>
      <c r="C7" s="10" t="s">
        <v>104</v>
      </c>
      <c r="D7" s="10" t="s">
        <v>105</v>
      </c>
      <c r="E7" s="10" t="s">
        <v>106</v>
      </c>
      <c r="F7" s="10" t="s">
        <v>122</v>
      </c>
      <c r="G7" s="10" t="s">
        <v>123</v>
      </c>
      <c r="H7" s="10" t="s">
        <v>124</v>
      </c>
      <c r="I7" s="10" t="s">
        <v>110</v>
      </c>
      <c r="J7" s="10" t="s">
        <v>44</v>
      </c>
      <c r="K7" s="10" t="s">
        <v>125</v>
      </c>
      <c r="L7" s="10">
        <v>4</v>
      </c>
      <c r="M7" s="10">
        <v>1</v>
      </c>
      <c r="N7" s="4">
        <v>3</v>
      </c>
      <c r="O7" s="5">
        <v>0.25</v>
      </c>
      <c r="P7" s="10">
        <v>50</v>
      </c>
      <c r="Q7" s="6">
        <f t="shared" si="0"/>
        <v>50</v>
      </c>
      <c r="R7" s="7" t="s">
        <v>113</v>
      </c>
      <c r="S7" s="8" t="s">
        <v>126</v>
      </c>
      <c r="T7" s="11"/>
    </row>
    <row r="8" spans="1:20" ht="13.5" customHeight="1" x14ac:dyDescent="0.3">
      <c r="A8" s="3">
        <v>5</v>
      </c>
      <c r="B8" s="53" t="s">
        <v>277</v>
      </c>
      <c r="C8" s="3" t="s">
        <v>104</v>
      </c>
      <c r="D8" s="3" t="s">
        <v>105</v>
      </c>
      <c r="E8" s="3" t="s">
        <v>106</v>
      </c>
      <c r="F8" s="3" t="s">
        <v>127</v>
      </c>
      <c r="G8" s="3" t="s">
        <v>128</v>
      </c>
      <c r="H8" s="3" t="s">
        <v>124</v>
      </c>
      <c r="I8" s="3" t="s">
        <v>110</v>
      </c>
      <c r="J8" s="3" t="s">
        <v>48</v>
      </c>
      <c r="K8" s="3" t="s">
        <v>129</v>
      </c>
      <c r="L8" s="3">
        <v>42</v>
      </c>
      <c r="M8" s="3">
        <v>7</v>
      </c>
      <c r="N8" s="4">
        <v>35</v>
      </c>
      <c r="O8" s="5">
        <v>0.17</v>
      </c>
      <c r="P8" s="3">
        <v>5</v>
      </c>
      <c r="Q8" s="6">
        <f t="shared" si="0"/>
        <v>35</v>
      </c>
      <c r="R8" s="7" t="s">
        <v>113</v>
      </c>
      <c r="S8" s="8" t="s">
        <v>114</v>
      </c>
      <c r="T8" s="9"/>
    </row>
    <row r="9" spans="1:20" ht="13.5" customHeight="1" x14ac:dyDescent="0.3">
      <c r="A9" s="10">
        <v>6</v>
      </c>
      <c r="B9" s="53" t="s">
        <v>277</v>
      </c>
      <c r="C9" s="10" t="s">
        <v>104</v>
      </c>
      <c r="D9" s="10" t="s">
        <v>105</v>
      </c>
      <c r="E9" s="10" t="s">
        <v>106</v>
      </c>
      <c r="F9" s="10" t="s">
        <v>127</v>
      </c>
      <c r="G9" s="10" t="s">
        <v>128</v>
      </c>
      <c r="H9" s="10" t="s">
        <v>124</v>
      </c>
      <c r="I9" s="10" t="s">
        <v>110</v>
      </c>
      <c r="J9" s="10" t="s">
        <v>55</v>
      </c>
      <c r="K9" s="10" t="s">
        <v>130</v>
      </c>
      <c r="L9" s="10">
        <v>100</v>
      </c>
      <c r="M9" s="10">
        <v>10</v>
      </c>
      <c r="N9" s="4">
        <v>90</v>
      </c>
      <c r="O9" s="5">
        <v>0.1</v>
      </c>
      <c r="P9" s="10">
        <v>1</v>
      </c>
      <c r="Q9" s="6">
        <f t="shared" si="0"/>
        <v>10</v>
      </c>
      <c r="R9" s="7" t="s">
        <v>113</v>
      </c>
      <c r="S9" s="8" t="s">
        <v>126</v>
      </c>
      <c r="T9" s="11"/>
    </row>
    <row r="10" spans="1:20" ht="13.5" customHeight="1" x14ac:dyDescent="0.3">
      <c r="A10" s="3">
        <v>7</v>
      </c>
      <c r="B10" s="53" t="s">
        <v>277</v>
      </c>
      <c r="C10" s="3" t="s">
        <v>104</v>
      </c>
      <c r="D10" s="3" t="s">
        <v>105</v>
      </c>
      <c r="E10" s="3" t="s">
        <v>106</v>
      </c>
      <c r="F10" s="3" t="s">
        <v>127</v>
      </c>
      <c r="G10" s="3" t="s">
        <v>128</v>
      </c>
      <c r="H10" s="3" t="s">
        <v>124</v>
      </c>
      <c r="I10" s="3" t="s">
        <v>110</v>
      </c>
      <c r="J10" s="3" t="s">
        <v>55</v>
      </c>
      <c r="K10" s="3" t="s">
        <v>131</v>
      </c>
      <c r="L10" s="3">
        <v>10</v>
      </c>
      <c r="M10" s="3">
        <v>2</v>
      </c>
      <c r="N10" s="4">
        <v>8</v>
      </c>
      <c r="O10" s="5">
        <v>0.2</v>
      </c>
      <c r="P10" s="3">
        <v>10</v>
      </c>
      <c r="Q10" s="6">
        <f t="shared" si="0"/>
        <v>20</v>
      </c>
      <c r="R10" s="7" t="s">
        <v>113</v>
      </c>
      <c r="S10" s="8" t="s">
        <v>114</v>
      </c>
      <c r="T10" s="9"/>
    </row>
    <row r="11" spans="1:20" ht="13.5" customHeight="1" x14ac:dyDescent="0.3">
      <c r="A11" s="10">
        <v>8</v>
      </c>
      <c r="B11" s="53" t="s">
        <v>277</v>
      </c>
      <c r="C11" s="10" t="s">
        <v>104</v>
      </c>
      <c r="D11" s="10" t="s">
        <v>105</v>
      </c>
      <c r="E11" s="10" t="s">
        <v>106</v>
      </c>
      <c r="F11" s="10" t="s">
        <v>132</v>
      </c>
      <c r="G11" s="10" t="s">
        <v>133</v>
      </c>
      <c r="H11" s="10" t="s">
        <v>109</v>
      </c>
      <c r="I11" s="10" t="s">
        <v>110</v>
      </c>
      <c r="J11" s="10" t="s">
        <v>134</v>
      </c>
      <c r="K11" s="10" t="s">
        <v>135</v>
      </c>
      <c r="L11" s="10">
        <v>200</v>
      </c>
      <c r="M11" s="10">
        <v>10</v>
      </c>
      <c r="N11" s="4">
        <v>190</v>
      </c>
      <c r="O11" s="5">
        <v>0.05</v>
      </c>
      <c r="P11" s="10">
        <v>5</v>
      </c>
      <c r="Q11" s="6">
        <f t="shared" si="0"/>
        <v>50</v>
      </c>
      <c r="R11" s="7" t="s">
        <v>113</v>
      </c>
      <c r="S11" s="8" t="s">
        <v>114</v>
      </c>
      <c r="T11" s="11"/>
    </row>
    <row r="12" spans="1:20" ht="13.5" customHeight="1" x14ac:dyDescent="0.3">
      <c r="A12" s="3">
        <v>9</v>
      </c>
      <c r="B12" s="53" t="s">
        <v>277</v>
      </c>
      <c r="C12" s="3" t="s">
        <v>104</v>
      </c>
      <c r="D12" s="3" t="s">
        <v>105</v>
      </c>
      <c r="E12" s="3" t="s">
        <v>106</v>
      </c>
      <c r="F12" s="3" t="s">
        <v>132</v>
      </c>
      <c r="G12" s="3" t="s">
        <v>133</v>
      </c>
      <c r="H12" s="3" t="s">
        <v>109</v>
      </c>
      <c r="I12" s="3" t="s">
        <v>110</v>
      </c>
      <c r="J12" s="3" t="s">
        <v>134</v>
      </c>
      <c r="K12" s="3" t="s">
        <v>136</v>
      </c>
      <c r="L12" s="3">
        <v>3</v>
      </c>
      <c r="M12" s="3">
        <v>3</v>
      </c>
      <c r="N12" s="4">
        <v>0</v>
      </c>
      <c r="O12" s="5">
        <v>1</v>
      </c>
      <c r="P12" s="3">
        <v>10</v>
      </c>
      <c r="Q12" s="6">
        <f t="shared" si="0"/>
        <v>30</v>
      </c>
      <c r="R12" s="7" t="s">
        <v>113</v>
      </c>
      <c r="S12" s="8" t="s">
        <v>114</v>
      </c>
      <c r="T12" s="9"/>
    </row>
    <row r="13" spans="1:20" ht="13.5" customHeight="1" x14ac:dyDescent="0.3">
      <c r="A13" s="10">
        <v>10</v>
      </c>
      <c r="B13" s="53" t="s">
        <v>277</v>
      </c>
      <c r="C13" s="10" t="s">
        <v>104</v>
      </c>
      <c r="D13" s="10" t="s">
        <v>105</v>
      </c>
      <c r="E13" s="10" t="s">
        <v>106</v>
      </c>
      <c r="F13" s="10" t="s">
        <v>137</v>
      </c>
      <c r="G13" s="10" t="s">
        <v>138</v>
      </c>
      <c r="H13" s="10" t="s">
        <v>109</v>
      </c>
      <c r="I13" s="10" t="s">
        <v>117</v>
      </c>
      <c r="J13" s="10" t="s">
        <v>111</v>
      </c>
      <c r="K13" s="10" t="s">
        <v>139</v>
      </c>
      <c r="L13" s="10">
        <v>12</v>
      </c>
      <c r="M13" s="10">
        <v>3</v>
      </c>
      <c r="N13" s="4">
        <v>9</v>
      </c>
      <c r="O13" s="5">
        <v>0.25</v>
      </c>
      <c r="P13" s="10">
        <v>25</v>
      </c>
      <c r="Q13" s="6">
        <f t="shared" si="0"/>
        <v>75</v>
      </c>
      <c r="R13" s="7" t="s">
        <v>113</v>
      </c>
      <c r="S13" s="8" t="s">
        <v>114</v>
      </c>
      <c r="T13" s="11"/>
    </row>
    <row r="14" spans="1:20" ht="13.5" customHeight="1" x14ac:dyDescent="0.3">
      <c r="A14" s="3">
        <v>11</v>
      </c>
      <c r="B14" s="53" t="s">
        <v>277</v>
      </c>
      <c r="C14" s="3" t="s">
        <v>104</v>
      </c>
      <c r="D14" s="3" t="s">
        <v>105</v>
      </c>
      <c r="E14" s="3" t="s">
        <v>106</v>
      </c>
      <c r="F14" s="3" t="s">
        <v>137</v>
      </c>
      <c r="G14" s="3" t="s">
        <v>138</v>
      </c>
      <c r="H14" s="3" t="s">
        <v>109</v>
      </c>
      <c r="I14" s="3" t="s">
        <v>117</v>
      </c>
      <c r="J14" s="3" t="s">
        <v>111</v>
      </c>
      <c r="K14" s="3" t="s">
        <v>140</v>
      </c>
      <c r="L14" s="3">
        <v>50</v>
      </c>
      <c r="M14" s="3">
        <v>5</v>
      </c>
      <c r="N14" s="4">
        <v>45</v>
      </c>
      <c r="O14" s="5">
        <v>0.1</v>
      </c>
      <c r="P14" s="3">
        <v>5</v>
      </c>
      <c r="Q14" s="6">
        <f t="shared" si="0"/>
        <v>25</v>
      </c>
      <c r="R14" s="7" t="s">
        <v>113</v>
      </c>
      <c r="S14" s="8" t="s">
        <v>114</v>
      </c>
      <c r="T14" s="9"/>
    </row>
    <row r="15" spans="1:20" ht="13.5" customHeight="1" x14ac:dyDescent="0.3">
      <c r="A15" s="10">
        <v>12</v>
      </c>
      <c r="B15" s="53" t="s">
        <v>277</v>
      </c>
      <c r="C15" s="10" t="s">
        <v>104</v>
      </c>
      <c r="D15" s="10" t="s">
        <v>105</v>
      </c>
      <c r="E15" s="10" t="s">
        <v>106</v>
      </c>
      <c r="F15" s="10" t="s">
        <v>137</v>
      </c>
      <c r="G15" s="10" t="s">
        <v>138</v>
      </c>
      <c r="H15" s="10" t="s">
        <v>109</v>
      </c>
      <c r="I15" s="10" t="s">
        <v>117</v>
      </c>
      <c r="J15" s="10" t="s">
        <v>111</v>
      </c>
      <c r="K15" s="10" t="s">
        <v>141</v>
      </c>
      <c r="L15" s="10">
        <v>30</v>
      </c>
      <c r="M15" s="10">
        <v>5</v>
      </c>
      <c r="N15" s="4">
        <v>25</v>
      </c>
      <c r="O15" s="5">
        <v>0.17</v>
      </c>
      <c r="P15" s="10">
        <v>5</v>
      </c>
      <c r="Q15" s="6">
        <f t="shared" si="0"/>
        <v>25</v>
      </c>
      <c r="R15" s="7" t="s">
        <v>113</v>
      </c>
      <c r="S15" s="8" t="s">
        <v>114</v>
      </c>
      <c r="T15" s="11"/>
    </row>
    <row r="16" spans="1:20" ht="13.5" customHeight="1" x14ac:dyDescent="0.3">
      <c r="A16" s="3">
        <v>13</v>
      </c>
      <c r="B16" s="53" t="s">
        <v>277</v>
      </c>
      <c r="C16" s="3" t="s">
        <v>104</v>
      </c>
      <c r="D16" s="3" t="s">
        <v>105</v>
      </c>
      <c r="E16" s="3" t="s">
        <v>106</v>
      </c>
      <c r="F16" s="3" t="s">
        <v>137</v>
      </c>
      <c r="G16" s="3" t="s">
        <v>138</v>
      </c>
      <c r="H16" s="3" t="s">
        <v>109</v>
      </c>
      <c r="I16" s="3" t="s">
        <v>117</v>
      </c>
      <c r="J16" s="3" t="s">
        <v>111</v>
      </c>
      <c r="K16" s="3" t="s">
        <v>142</v>
      </c>
      <c r="L16" s="3">
        <v>30</v>
      </c>
      <c r="M16" s="3">
        <v>2</v>
      </c>
      <c r="N16" s="4">
        <v>28</v>
      </c>
      <c r="O16" s="5">
        <v>7.0000000000000007E-2</v>
      </c>
      <c r="P16" s="3">
        <v>6</v>
      </c>
      <c r="Q16" s="6">
        <f t="shared" si="0"/>
        <v>12</v>
      </c>
      <c r="R16" s="7" t="s">
        <v>113</v>
      </c>
      <c r="S16" s="8" t="s">
        <v>114</v>
      </c>
      <c r="T16" s="9"/>
    </row>
    <row r="17" spans="1:20" ht="13.5" customHeight="1" x14ac:dyDescent="0.3">
      <c r="A17" s="10">
        <v>1</v>
      </c>
      <c r="B17" s="53" t="s">
        <v>277</v>
      </c>
      <c r="C17" s="10" t="s">
        <v>104</v>
      </c>
      <c r="D17" s="10" t="s">
        <v>143</v>
      </c>
      <c r="E17" s="10" t="s">
        <v>144</v>
      </c>
      <c r="F17" s="10" t="s">
        <v>145</v>
      </c>
      <c r="G17" s="10" t="s">
        <v>146</v>
      </c>
      <c r="H17" s="10" t="s">
        <v>109</v>
      </c>
      <c r="I17" s="10" t="s">
        <v>147</v>
      </c>
      <c r="J17" s="10" t="s">
        <v>118</v>
      </c>
      <c r="K17" s="10" t="s">
        <v>148</v>
      </c>
      <c r="L17" s="10">
        <v>20</v>
      </c>
      <c r="M17" s="10">
        <v>17</v>
      </c>
      <c r="N17" s="4">
        <v>3</v>
      </c>
      <c r="O17" s="5">
        <v>0.85</v>
      </c>
      <c r="P17" s="10">
        <v>5</v>
      </c>
      <c r="Q17" s="6">
        <f t="shared" si="0"/>
        <v>85</v>
      </c>
      <c r="R17" s="7" t="s">
        <v>113</v>
      </c>
      <c r="S17" s="8" t="s">
        <v>126</v>
      </c>
      <c r="T17" s="11" t="s">
        <v>149</v>
      </c>
    </row>
    <row r="18" spans="1:20" ht="13.5" customHeight="1" x14ac:dyDescent="0.3">
      <c r="A18" s="3">
        <v>2</v>
      </c>
      <c r="B18" s="53" t="s">
        <v>277</v>
      </c>
      <c r="C18" s="3" t="s">
        <v>104</v>
      </c>
      <c r="D18" s="3" t="s">
        <v>143</v>
      </c>
      <c r="E18" s="3" t="s">
        <v>144</v>
      </c>
      <c r="F18" s="3" t="s">
        <v>145</v>
      </c>
      <c r="G18" s="3" t="s">
        <v>150</v>
      </c>
      <c r="H18" s="3" t="s">
        <v>109</v>
      </c>
      <c r="I18" s="3" t="s">
        <v>147</v>
      </c>
      <c r="J18" s="3" t="s">
        <v>118</v>
      </c>
      <c r="K18" s="3" t="s">
        <v>151</v>
      </c>
      <c r="L18" s="3">
        <v>21</v>
      </c>
      <c r="M18" s="3">
        <v>14</v>
      </c>
      <c r="N18" s="4">
        <v>7</v>
      </c>
      <c r="O18" s="5">
        <v>0.67</v>
      </c>
      <c r="P18" s="3">
        <v>5</v>
      </c>
      <c r="Q18" s="6">
        <f t="shared" si="0"/>
        <v>70</v>
      </c>
      <c r="R18" s="7" t="s">
        <v>113</v>
      </c>
      <c r="S18" s="8" t="s">
        <v>126</v>
      </c>
      <c r="T18" s="9" t="s">
        <v>152</v>
      </c>
    </row>
    <row r="19" spans="1:20" ht="13.5" customHeight="1" x14ac:dyDescent="0.3">
      <c r="A19" s="10">
        <v>3</v>
      </c>
      <c r="B19" s="53" t="s">
        <v>277</v>
      </c>
      <c r="C19" s="10" t="s">
        <v>104</v>
      </c>
      <c r="D19" s="10" t="s">
        <v>153</v>
      </c>
      <c r="E19" s="10" t="s">
        <v>144</v>
      </c>
      <c r="F19" s="10" t="s">
        <v>154</v>
      </c>
      <c r="G19" s="10" t="s">
        <v>146</v>
      </c>
      <c r="H19" s="10" t="s">
        <v>109</v>
      </c>
      <c r="I19" s="10" t="s">
        <v>147</v>
      </c>
      <c r="J19" s="10" t="s">
        <v>55</v>
      </c>
      <c r="K19" s="10" t="s">
        <v>155</v>
      </c>
      <c r="L19" s="10">
        <v>2</v>
      </c>
      <c r="M19" s="10">
        <v>11</v>
      </c>
      <c r="N19" s="4">
        <v>-9</v>
      </c>
      <c r="O19" s="5">
        <v>5.5</v>
      </c>
      <c r="P19" s="10">
        <v>50</v>
      </c>
      <c r="Q19" s="6">
        <f t="shared" si="0"/>
        <v>550</v>
      </c>
      <c r="R19" s="7" t="s">
        <v>113</v>
      </c>
      <c r="S19" s="8" t="s">
        <v>114</v>
      </c>
      <c r="T19" s="11" t="s">
        <v>156</v>
      </c>
    </row>
    <row r="20" spans="1:20" ht="13.5" customHeight="1" x14ac:dyDescent="0.3">
      <c r="A20" s="3">
        <v>4</v>
      </c>
      <c r="B20" s="53" t="s">
        <v>277</v>
      </c>
      <c r="C20" s="3" t="s">
        <v>104</v>
      </c>
      <c r="D20" s="3" t="s">
        <v>153</v>
      </c>
      <c r="E20" s="3" t="s">
        <v>144</v>
      </c>
      <c r="F20" s="3" t="s">
        <v>157</v>
      </c>
      <c r="G20" s="3" t="s">
        <v>158</v>
      </c>
      <c r="H20" s="3" t="s">
        <v>124</v>
      </c>
      <c r="I20" s="3" t="s">
        <v>159</v>
      </c>
      <c r="J20" s="3" t="s">
        <v>111</v>
      </c>
      <c r="K20" s="3" t="s">
        <v>160</v>
      </c>
      <c r="L20" s="3">
        <v>23</v>
      </c>
      <c r="M20" s="3">
        <v>2</v>
      </c>
      <c r="N20" s="4">
        <v>21</v>
      </c>
      <c r="O20" s="5">
        <v>0.09</v>
      </c>
      <c r="P20" s="3">
        <v>10</v>
      </c>
      <c r="Q20" s="6">
        <f t="shared" si="0"/>
        <v>20</v>
      </c>
      <c r="R20" s="7" t="s">
        <v>113</v>
      </c>
      <c r="S20" s="8" t="s">
        <v>114</v>
      </c>
      <c r="T20" s="9" t="s">
        <v>161</v>
      </c>
    </row>
    <row r="21" spans="1:20" ht="13.5" customHeight="1" x14ac:dyDescent="0.3">
      <c r="A21" s="10">
        <v>5</v>
      </c>
      <c r="B21" s="53" t="s">
        <v>277</v>
      </c>
      <c r="C21" s="10" t="s">
        <v>104</v>
      </c>
      <c r="D21" s="10" t="s">
        <v>153</v>
      </c>
      <c r="E21" s="10" t="s">
        <v>144</v>
      </c>
      <c r="F21" s="10" t="s">
        <v>162</v>
      </c>
      <c r="G21" s="10" t="s">
        <v>158</v>
      </c>
      <c r="H21" s="10" t="s">
        <v>124</v>
      </c>
      <c r="I21" s="10" t="s">
        <v>159</v>
      </c>
      <c r="J21" s="10" t="s">
        <v>111</v>
      </c>
      <c r="K21" s="10" t="s">
        <v>163</v>
      </c>
      <c r="L21" s="10">
        <v>44</v>
      </c>
      <c r="M21" s="10">
        <v>6</v>
      </c>
      <c r="N21" s="4">
        <v>38</v>
      </c>
      <c r="O21" s="5">
        <v>0.14000000000000001</v>
      </c>
      <c r="P21" s="10">
        <v>6</v>
      </c>
      <c r="Q21" s="6">
        <f t="shared" si="0"/>
        <v>36</v>
      </c>
      <c r="R21" s="7" t="s">
        <v>113</v>
      </c>
      <c r="S21" s="8" t="s">
        <v>114</v>
      </c>
      <c r="T21" s="11" t="s">
        <v>164</v>
      </c>
    </row>
    <row r="22" spans="1:20" ht="13.5" customHeight="1" x14ac:dyDescent="0.3">
      <c r="A22" s="3">
        <v>6</v>
      </c>
      <c r="B22" s="53" t="s">
        <v>277</v>
      </c>
      <c r="C22" s="3" t="s">
        <v>104</v>
      </c>
      <c r="D22" s="3" t="s">
        <v>153</v>
      </c>
      <c r="E22" s="3" t="s">
        <v>144</v>
      </c>
      <c r="F22" s="3" t="s">
        <v>162</v>
      </c>
      <c r="G22" s="3" t="s">
        <v>165</v>
      </c>
      <c r="H22" s="3" t="s">
        <v>124</v>
      </c>
      <c r="I22" s="3" t="s">
        <v>159</v>
      </c>
      <c r="J22" s="3" t="s">
        <v>111</v>
      </c>
      <c r="K22" s="3" t="s">
        <v>166</v>
      </c>
      <c r="L22" s="3">
        <v>104</v>
      </c>
      <c r="M22" s="3">
        <v>15</v>
      </c>
      <c r="N22" s="4">
        <v>89</v>
      </c>
      <c r="O22" s="5">
        <v>0.14000000000000001</v>
      </c>
      <c r="P22" s="3">
        <v>1</v>
      </c>
      <c r="Q22" s="6">
        <f t="shared" si="0"/>
        <v>15</v>
      </c>
      <c r="R22" s="7" t="s">
        <v>113</v>
      </c>
      <c r="S22" s="8" t="s">
        <v>114</v>
      </c>
      <c r="T22" s="9" t="s">
        <v>167</v>
      </c>
    </row>
    <row r="23" spans="1:20" ht="13.5" customHeight="1" x14ac:dyDescent="0.3">
      <c r="A23" s="10">
        <v>7</v>
      </c>
      <c r="B23" s="53" t="s">
        <v>277</v>
      </c>
      <c r="C23" s="10" t="s">
        <v>104</v>
      </c>
      <c r="D23" s="10" t="s">
        <v>153</v>
      </c>
      <c r="E23" s="10" t="s">
        <v>144</v>
      </c>
      <c r="F23" s="10" t="s">
        <v>168</v>
      </c>
      <c r="G23" s="10" t="s">
        <v>165</v>
      </c>
      <c r="H23" s="10" t="s">
        <v>124</v>
      </c>
      <c r="I23" s="10" t="s">
        <v>159</v>
      </c>
      <c r="J23" s="10" t="s">
        <v>48</v>
      </c>
      <c r="K23" s="10" t="s">
        <v>169</v>
      </c>
      <c r="L23" s="10">
        <v>10</v>
      </c>
      <c r="M23" s="10">
        <v>0</v>
      </c>
      <c r="N23" s="4">
        <v>10</v>
      </c>
      <c r="O23" s="5">
        <v>0</v>
      </c>
      <c r="P23" s="10">
        <v>5</v>
      </c>
      <c r="Q23" s="6">
        <f t="shared" si="0"/>
        <v>0</v>
      </c>
      <c r="R23" s="7" t="s">
        <v>170</v>
      </c>
      <c r="S23" s="8" t="s">
        <v>170</v>
      </c>
      <c r="T23" s="11" t="s">
        <v>171</v>
      </c>
    </row>
    <row r="24" spans="1:20" ht="13.5" customHeight="1" x14ac:dyDescent="0.3">
      <c r="A24" s="3">
        <v>8</v>
      </c>
      <c r="B24" s="53" t="s">
        <v>277</v>
      </c>
      <c r="C24" s="3" t="s">
        <v>104</v>
      </c>
      <c r="D24" s="3" t="s">
        <v>153</v>
      </c>
      <c r="E24" s="3" t="s">
        <v>144</v>
      </c>
      <c r="F24" s="3" t="s">
        <v>172</v>
      </c>
      <c r="G24" s="3" t="s">
        <v>173</v>
      </c>
      <c r="H24" s="3" t="s">
        <v>109</v>
      </c>
      <c r="I24" s="3" t="s">
        <v>159</v>
      </c>
      <c r="J24" s="3" t="s">
        <v>118</v>
      </c>
      <c r="K24" s="3" t="s">
        <v>151</v>
      </c>
      <c r="L24" s="3">
        <v>30</v>
      </c>
      <c r="M24" s="3">
        <v>12</v>
      </c>
      <c r="N24" s="4">
        <v>18</v>
      </c>
      <c r="O24" s="5">
        <v>0.4</v>
      </c>
      <c r="P24" s="3">
        <v>5</v>
      </c>
      <c r="Q24" s="6">
        <f t="shared" si="0"/>
        <v>60</v>
      </c>
      <c r="R24" s="7" t="s">
        <v>113</v>
      </c>
      <c r="S24" s="8" t="s">
        <v>114</v>
      </c>
      <c r="T24" s="9" t="s">
        <v>174</v>
      </c>
    </row>
    <row r="25" spans="1:20" ht="13.5" customHeight="1" x14ac:dyDescent="0.3">
      <c r="A25" s="10">
        <v>9</v>
      </c>
      <c r="B25" s="53" t="s">
        <v>277</v>
      </c>
      <c r="C25" s="10" t="s">
        <v>104</v>
      </c>
      <c r="D25" s="10" t="s">
        <v>153</v>
      </c>
      <c r="E25" s="10" t="s">
        <v>144</v>
      </c>
      <c r="F25" s="10" t="s">
        <v>172</v>
      </c>
      <c r="G25" s="10" t="s">
        <v>173</v>
      </c>
      <c r="H25" s="10" t="s">
        <v>109</v>
      </c>
      <c r="I25" s="10" t="s">
        <v>159</v>
      </c>
      <c r="J25" s="10" t="s">
        <v>118</v>
      </c>
      <c r="K25" s="10" t="s">
        <v>175</v>
      </c>
      <c r="L25" s="10">
        <v>36</v>
      </c>
      <c r="M25" s="10">
        <v>17</v>
      </c>
      <c r="N25" s="4">
        <v>19</v>
      </c>
      <c r="O25" s="5">
        <v>0.47</v>
      </c>
      <c r="P25" s="10">
        <v>5</v>
      </c>
      <c r="Q25" s="6">
        <f t="shared" si="0"/>
        <v>85</v>
      </c>
      <c r="R25" s="7" t="s">
        <v>113</v>
      </c>
      <c r="S25" s="8" t="s">
        <v>114</v>
      </c>
      <c r="T25" s="11" t="s">
        <v>174</v>
      </c>
    </row>
    <row r="26" spans="1:20" ht="13.5" customHeight="1" x14ac:dyDescent="0.3">
      <c r="A26" s="3">
        <v>10</v>
      </c>
      <c r="B26" s="53" t="s">
        <v>277</v>
      </c>
      <c r="C26" s="3" t="s">
        <v>104</v>
      </c>
      <c r="D26" s="3" t="s">
        <v>153</v>
      </c>
      <c r="E26" s="3" t="s">
        <v>144</v>
      </c>
      <c r="F26" s="3" t="s">
        <v>176</v>
      </c>
      <c r="G26" s="3" t="s">
        <v>173</v>
      </c>
      <c r="H26" s="3" t="s">
        <v>109</v>
      </c>
      <c r="I26" s="3" t="s">
        <v>159</v>
      </c>
      <c r="J26" s="3" t="s">
        <v>118</v>
      </c>
      <c r="K26" s="3" t="s">
        <v>177</v>
      </c>
      <c r="L26" s="3">
        <v>20</v>
      </c>
      <c r="M26" s="3">
        <v>18</v>
      </c>
      <c r="N26" s="4">
        <v>2</v>
      </c>
      <c r="O26" s="5">
        <v>0.9</v>
      </c>
      <c r="P26" s="3">
        <v>5</v>
      </c>
      <c r="Q26" s="6">
        <f t="shared" si="0"/>
        <v>90</v>
      </c>
      <c r="R26" s="7" t="s">
        <v>113</v>
      </c>
      <c r="S26" s="8" t="s">
        <v>114</v>
      </c>
      <c r="T26" s="9"/>
    </row>
    <row r="27" spans="1:20" ht="13.5" customHeight="1" x14ac:dyDescent="0.3">
      <c r="A27" s="10">
        <v>1</v>
      </c>
      <c r="B27" s="53" t="s">
        <v>277</v>
      </c>
      <c r="C27" s="10" t="s">
        <v>104</v>
      </c>
      <c r="D27" s="10" t="s">
        <v>178</v>
      </c>
      <c r="E27" s="10" t="s">
        <v>179</v>
      </c>
      <c r="F27" s="10" t="s">
        <v>180</v>
      </c>
      <c r="G27" s="10" t="s">
        <v>181</v>
      </c>
      <c r="H27" s="10" t="s">
        <v>109</v>
      </c>
      <c r="I27" s="10" t="s">
        <v>182</v>
      </c>
      <c r="J27" s="10" t="s">
        <v>183</v>
      </c>
      <c r="K27" s="10" t="s">
        <v>184</v>
      </c>
      <c r="L27" s="10">
        <v>9</v>
      </c>
      <c r="M27" s="10">
        <v>9</v>
      </c>
      <c r="N27" s="4">
        <v>0</v>
      </c>
      <c r="O27" s="5">
        <v>1</v>
      </c>
      <c r="P27" s="10">
        <v>50</v>
      </c>
      <c r="Q27" s="6">
        <f t="shared" si="0"/>
        <v>450</v>
      </c>
      <c r="R27" s="7" t="s">
        <v>113</v>
      </c>
      <c r="S27" s="8" t="s">
        <v>114</v>
      </c>
      <c r="T27" s="11" t="s">
        <v>185</v>
      </c>
    </row>
    <row r="28" spans="1:20" ht="13.5" customHeight="1" x14ac:dyDescent="0.3">
      <c r="A28" s="3">
        <v>2</v>
      </c>
      <c r="B28" s="53" t="s">
        <v>277</v>
      </c>
      <c r="C28" s="3" t="s">
        <v>104</v>
      </c>
      <c r="D28" s="3" t="s">
        <v>186</v>
      </c>
      <c r="E28" s="3" t="s">
        <v>187</v>
      </c>
      <c r="F28" s="3" t="s">
        <v>180</v>
      </c>
      <c r="G28" s="3" t="s">
        <v>181</v>
      </c>
      <c r="H28" s="3" t="s">
        <v>109</v>
      </c>
      <c r="I28" s="3" t="s">
        <v>182</v>
      </c>
      <c r="J28" s="3" t="s">
        <v>183</v>
      </c>
      <c r="K28" s="3" t="s">
        <v>188</v>
      </c>
      <c r="L28" s="3">
        <v>3</v>
      </c>
      <c r="M28" s="3">
        <v>3</v>
      </c>
      <c r="N28" s="4">
        <v>0</v>
      </c>
      <c r="O28" s="5">
        <v>1</v>
      </c>
      <c r="P28" s="3">
        <v>90</v>
      </c>
      <c r="Q28" s="6">
        <f t="shared" si="0"/>
        <v>270</v>
      </c>
      <c r="R28" s="7" t="s">
        <v>189</v>
      </c>
      <c r="S28" s="8" t="s">
        <v>114</v>
      </c>
      <c r="T28" s="9"/>
    </row>
    <row r="29" spans="1:20" ht="13.5" customHeight="1" x14ac:dyDescent="0.3">
      <c r="A29" s="10">
        <v>3</v>
      </c>
      <c r="B29" s="53" t="s">
        <v>277</v>
      </c>
      <c r="C29" s="10" t="s">
        <v>104</v>
      </c>
      <c r="D29" s="10" t="s">
        <v>190</v>
      </c>
      <c r="E29" s="10" t="s">
        <v>187</v>
      </c>
      <c r="F29" s="10" t="s">
        <v>191</v>
      </c>
      <c r="G29" s="10" t="s">
        <v>192</v>
      </c>
      <c r="H29" s="10" t="s">
        <v>124</v>
      </c>
      <c r="I29" s="10" t="s">
        <v>182</v>
      </c>
      <c r="J29" s="10" t="s">
        <v>193</v>
      </c>
      <c r="K29" s="10" t="s">
        <v>194</v>
      </c>
      <c r="L29" s="10">
        <v>3</v>
      </c>
      <c r="M29" s="10">
        <v>1</v>
      </c>
      <c r="N29" s="4">
        <v>2</v>
      </c>
      <c r="O29" s="5">
        <v>0.33</v>
      </c>
      <c r="P29" s="10">
        <v>350</v>
      </c>
      <c r="Q29" s="6">
        <f t="shared" si="0"/>
        <v>350</v>
      </c>
      <c r="R29" s="7" t="s">
        <v>113</v>
      </c>
      <c r="S29" s="8" t="s">
        <v>114</v>
      </c>
      <c r="T29" s="11" t="s">
        <v>195</v>
      </c>
    </row>
    <row r="30" spans="1:20" ht="13.5" customHeight="1" x14ac:dyDescent="0.3">
      <c r="A30" s="3">
        <v>4</v>
      </c>
      <c r="B30" s="53" t="s">
        <v>277</v>
      </c>
      <c r="C30" s="3" t="s">
        <v>104</v>
      </c>
      <c r="D30" s="3" t="s">
        <v>190</v>
      </c>
      <c r="E30" s="3" t="s">
        <v>187</v>
      </c>
      <c r="F30" s="3" t="s">
        <v>191</v>
      </c>
      <c r="G30" s="3" t="s">
        <v>192</v>
      </c>
      <c r="H30" s="3" t="s">
        <v>124</v>
      </c>
      <c r="I30" s="3" t="s">
        <v>182</v>
      </c>
      <c r="J30" s="3" t="s">
        <v>196</v>
      </c>
      <c r="K30" s="3" t="s">
        <v>197</v>
      </c>
      <c r="L30" s="3">
        <v>6</v>
      </c>
      <c r="M30" s="3">
        <v>1</v>
      </c>
      <c r="N30" s="4">
        <v>5</v>
      </c>
      <c r="O30" s="5">
        <v>0.17</v>
      </c>
      <c r="P30" s="3">
        <v>150</v>
      </c>
      <c r="Q30" s="6">
        <f t="shared" si="0"/>
        <v>150</v>
      </c>
      <c r="R30" s="7" t="s">
        <v>113</v>
      </c>
      <c r="S30" s="8" t="s">
        <v>114</v>
      </c>
      <c r="T30" s="9"/>
    </row>
    <row r="31" spans="1:20" ht="13.5" customHeight="1" x14ac:dyDescent="0.3">
      <c r="A31" s="10">
        <v>5</v>
      </c>
      <c r="B31" s="53" t="s">
        <v>277</v>
      </c>
      <c r="C31" s="10" t="s">
        <v>104</v>
      </c>
      <c r="D31" s="10" t="s">
        <v>190</v>
      </c>
      <c r="E31" s="10" t="s">
        <v>187</v>
      </c>
      <c r="F31" s="10" t="s">
        <v>198</v>
      </c>
      <c r="G31" s="10" t="s">
        <v>199</v>
      </c>
      <c r="H31" s="10" t="s">
        <v>109</v>
      </c>
      <c r="I31" s="10" t="s">
        <v>182</v>
      </c>
      <c r="J31" s="10" t="s">
        <v>183</v>
      </c>
      <c r="K31" s="10" t="s">
        <v>200</v>
      </c>
      <c r="L31" s="10">
        <v>10</v>
      </c>
      <c r="M31" s="10">
        <v>3</v>
      </c>
      <c r="N31" s="4">
        <v>0</v>
      </c>
      <c r="O31" s="5">
        <v>0.3</v>
      </c>
      <c r="P31" s="10">
        <v>65</v>
      </c>
      <c r="Q31" s="6">
        <f t="shared" si="0"/>
        <v>195</v>
      </c>
      <c r="R31" s="7" t="s">
        <v>170</v>
      </c>
      <c r="S31" s="8" t="s">
        <v>114</v>
      </c>
      <c r="T31" s="11"/>
    </row>
    <row r="32" spans="1:20" ht="13.5" customHeight="1" x14ac:dyDescent="0.3">
      <c r="A32" s="3">
        <v>6</v>
      </c>
      <c r="B32" s="53" t="s">
        <v>277</v>
      </c>
      <c r="C32" s="3" t="s">
        <v>104</v>
      </c>
      <c r="D32" s="3" t="s">
        <v>190</v>
      </c>
      <c r="E32" s="3" t="s">
        <v>187</v>
      </c>
      <c r="F32" s="3" t="s">
        <v>201</v>
      </c>
      <c r="G32" s="3" t="s">
        <v>202</v>
      </c>
      <c r="H32" s="3" t="s">
        <v>124</v>
      </c>
      <c r="I32" s="3" t="s">
        <v>182</v>
      </c>
      <c r="J32" s="3" t="s">
        <v>183</v>
      </c>
      <c r="K32" s="3" t="s">
        <v>203</v>
      </c>
      <c r="L32" s="3">
        <v>200</v>
      </c>
      <c r="M32" s="3">
        <v>47</v>
      </c>
      <c r="N32" s="4">
        <v>153</v>
      </c>
      <c r="O32" s="5">
        <v>0.24</v>
      </c>
      <c r="P32" s="3">
        <v>5</v>
      </c>
      <c r="Q32" s="6">
        <f t="shared" si="0"/>
        <v>235</v>
      </c>
      <c r="R32" s="7" t="s">
        <v>113</v>
      </c>
      <c r="S32" s="8" t="s">
        <v>114</v>
      </c>
      <c r="T32" s="9" t="s">
        <v>204</v>
      </c>
    </row>
    <row r="33" spans="1:20" ht="13.5" customHeight="1" x14ac:dyDescent="0.3">
      <c r="A33" s="3">
        <v>1</v>
      </c>
      <c r="B33" s="53" t="s">
        <v>277</v>
      </c>
      <c r="C33" s="3" t="s">
        <v>104</v>
      </c>
      <c r="D33" s="3" t="s">
        <v>190</v>
      </c>
      <c r="E33" s="3" t="s">
        <v>205</v>
      </c>
      <c r="F33" s="3" t="s">
        <v>206</v>
      </c>
      <c r="G33" s="3" t="s">
        <v>207</v>
      </c>
      <c r="H33" s="3" t="s">
        <v>109</v>
      </c>
      <c r="I33" s="3" t="s">
        <v>208</v>
      </c>
      <c r="J33" s="3" t="s">
        <v>134</v>
      </c>
      <c r="K33" s="3" t="s">
        <v>209</v>
      </c>
      <c r="L33" s="3">
        <v>36</v>
      </c>
      <c r="M33" s="3">
        <v>21</v>
      </c>
      <c r="N33" s="4">
        <v>4</v>
      </c>
      <c r="O33" s="5">
        <f t="shared" ref="O33:O54" si="1">IFERROR(M33/L33,"")</f>
        <v>0.58333333333333337</v>
      </c>
      <c r="P33" s="3">
        <v>5</v>
      </c>
      <c r="Q33" s="6">
        <f t="shared" si="0"/>
        <v>105</v>
      </c>
      <c r="R33" s="7" t="s">
        <v>170</v>
      </c>
      <c r="S33" s="8"/>
      <c r="T33" s="9" t="s">
        <v>210</v>
      </c>
    </row>
    <row r="34" spans="1:20" ht="13.5" customHeight="1" x14ac:dyDescent="0.3">
      <c r="A34" s="10">
        <v>2</v>
      </c>
      <c r="B34" s="53" t="s">
        <v>277</v>
      </c>
      <c r="C34" s="10" t="s">
        <v>104</v>
      </c>
      <c r="D34" s="10" t="s">
        <v>190</v>
      </c>
      <c r="E34" s="10" t="s">
        <v>205</v>
      </c>
      <c r="F34" s="10" t="s">
        <v>211</v>
      </c>
      <c r="G34" s="10" t="s">
        <v>212</v>
      </c>
      <c r="H34" s="10" t="s">
        <v>124</v>
      </c>
      <c r="I34" s="10" t="s">
        <v>208</v>
      </c>
      <c r="J34" s="10" t="s">
        <v>111</v>
      </c>
      <c r="K34" s="10" t="s">
        <v>213</v>
      </c>
      <c r="L34" s="10">
        <v>30</v>
      </c>
      <c r="M34" s="10">
        <v>8</v>
      </c>
      <c r="N34" s="4">
        <f t="shared" ref="N34:N54" si="2">IFERROR(L34-M34,"")</f>
        <v>22</v>
      </c>
      <c r="O34" s="5">
        <f t="shared" si="1"/>
        <v>0.26666666666666666</v>
      </c>
      <c r="P34" s="10">
        <v>20</v>
      </c>
      <c r="Q34" s="6">
        <f t="shared" si="0"/>
        <v>160</v>
      </c>
      <c r="R34" s="7" t="s">
        <v>170</v>
      </c>
      <c r="S34" s="8"/>
      <c r="T34" s="11"/>
    </row>
    <row r="35" spans="1:20" ht="13.5" customHeight="1" x14ac:dyDescent="0.3">
      <c r="A35" s="3">
        <v>3</v>
      </c>
      <c r="B35" s="53" t="s">
        <v>277</v>
      </c>
      <c r="C35" s="3" t="s">
        <v>104</v>
      </c>
      <c r="D35" s="3" t="s">
        <v>190</v>
      </c>
      <c r="E35" s="3" t="s">
        <v>205</v>
      </c>
      <c r="F35" s="3" t="s">
        <v>214</v>
      </c>
      <c r="G35" s="3" t="s">
        <v>215</v>
      </c>
      <c r="H35" s="3" t="s">
        <v>109</v>
      </c>
      <c r="I35" s="3" t="s">
        <v>208</v>
      </c>
      <c r="J35" s="3" t="s">
        <v>118</v>
      </c>
      <c r="K35" s="3" t="s">
        <v>121</v>
      </c>
      <c r="L35" s="3">
        <v>40</v>
      </c>
      <c r="M35" s="3">
        <v>17</v>
      </c>
      <c r="N35" s="4">
        <f t="shared" si="2"/>
        <v>23</v>
      </c>
      <c r="O35" s="5">
        <f t="shared" si="1"/>
        <v>0.42499999999999999</v>
      </c>
      <c r="P35" s="3">
        <v>5</v>
      </c>
      <c r="Q35" s="6">
        <f t="shared" si="0"/>
        <v>85</v>
      </c>
      <c r="R35" s="7" t="s">
        <v>170</v>
      </c>
      <c r="S35" s="8"/>
      <c r="T35" s="9"/>
    </row>
    <row r="36" spans="1:20" ht="13.5" customHeight="1" x14ac:dyDescent="0.3">
      <c r="A36" s="10">
        <v>4</v>
      </c>
      <c r="B36" s="53" t="s">
        <v>277</v>
      </c>
      <c r="C36" s="10" t="s">
        <v>104</v>
      </c>
      <c r="D36" s="10" t="s">
        <v>190</v>
      </c>
      <c r="E36" s="10" t="s">
        <v>205</v>
      </c>
      <c r="F36" s="10" t="s">
        <v>214</v>
      </c>
      <c r="G36" s="10" t="s">
        <v>215</v>
      </c>
      <c r="H36" s="10" t="s">
        <v>109</v>
      </c>
      <c r="I36" s="10" t="s">
        <v>208</v>
      </c>
      <c r="J36" s="10" t="s">
        <v>118</v>
      </c>
      <c r="K36" s="10" t="s">
        <v>216</v>
      </c>
      <c r="L36" s="10">
        <v>10</v>
      </c>
      <c r="M36" s="10">
        <v>4</v>
      </c>
      <c r="N36" s="4">
        <f t="shared" si="2"/>
        <v>6</v>
      </c>
      <c r="O36" s="5">
        <f t="shared" si="1"/>
        <v>0.4</v>
      </c>
      <c r="P36" s="10">
        <v>5</v>
      </c>
      <c r="Q36" s="6">
        <f t="shared" si="0"/>
        <v>20</v>
      </c>
      <c r="R36" s="7" t="s">
        <v>170</v>
      </c>
      <c r="S36" s="8"/>
      <c r="T36" s="11"/>
    </row>
    <row r="37" spans="1:20" ht="13.5" customHeight="1" x14ac:dyDescent="0.3">
      <c r="A37" s="3">
        <v>5</v>
      </c>
      <c r="B37" s="53" t="s">
        <v>277</v>
      </c>
      <c r="C37" s="3" t="s">
        <v>104</v>
      </c>
      <c r="D37" s="3" t="s">
        <v>190</v>
      </c>
      <c r="E37" s="3" t="s">
        <v>205</v>
      </c>
      <c r="F37" s="3" t="s">
        <v>217</v>
      </c>
      <c r="G37" s="3" t="s">
        <v>218</v>
      </c>
      <c r="H37" s="3" t="s">
        <v>109</v>
      </c>
      <c r="I37" s="3" t="s">
        <v>219</v>
      </c>
      <c r="J37" s="3" t="s">
        <v>134</v>
      </c>
      <c r="K37" s="3" t="s">
        <v>220</v>
      </c>
      <c r="L37" s="3">
        <v>30</v>
      </c>
      <c r="M37" s="3">
        <v>17</v>
      </c>
      <c r="N37" s="4">
        <f t="shared" si="2"/>
        <v>13</v>
      </c>
      <c r="O37" s="5">
        <f t="shared" si="1"/>
        <v>0.56666666666666665</v>
      </c>
      <c r="P37" s="3">
        <v>5</v>
      </c>
      <c r="Q37" s="6">
        <f t="shared" si="0"/>
        <v>85</v>
      </c>
      <c r="R37" s="7" t="s">
        <v>170</v>
      </c>
      <c r="S37" s="8"/>
      <c r="T37" s="9"/>
    </row>
    <row r="38" spans="1:20" ht="13.5" customHeight="1" x14ac:dyDescent="0.3">
      <c r="A38" s="10">
        <v>6</v>
      </c>
      <c r="B38" s="53" t="s">
        <v>277</v>
      </c>
      <c r="C38" s="10" t="s">
        <v>104</v>
      </c>
      <c r="D38" s="10" t="s">
        <v>190</v>
      </c>
      <c r="E38" s="10" t="s">
        <v>205</v>
      </c>
      <c r="F38" s="10" t="s">
        <v>221</v>
      </c>
      <c r="G38" s="10" t="s">
        <v>222</v>
      </c>
      <c r="H38" s="10" t="s">
        <v>124</v>
      </c>
      <c r="I38" s="10" t="s">
        <v>219</v>
      </c>
      <c r="J38" s="10" t="s">
        <v>44</v>
      </c>
      <c r="K38" s="10" t="s">
        <v>223</v>
      </c>
      <c r="L38" s="10">
        <v>3</v>
      </c>
      <c r="M38" s="10">
        <v>1</v>
      </c>
      <c r="N38" s="4">
        <f t="shared" si="2"/>
        <v>2</v>
      </c>
      <c r="O38" s="5">
        <f t="shared" si="1"/>
        <v>0.33333333333333331</v>
      </c>
      <c r="P38" s="10">
        <v>70</v>
      </c>
      <c r="Q38" s="6">
        <f t="shared" si="0"/>
        <v>70</v>
      </c>
      <c r="R38" s="7" t="s">
        <v>170</v>
      </c>
      <c r="S38" s="8"/>
      <c r="T38" s="11"/>
    </row>
    <row r="39" spans="1:20" ht="13.5" customHeight="1" x14ac:dyDescent="0.3">
      <c r="A39" s="3">
        <v>7</v>
      </c>
      <c r="B39" s="53" t="s">
        <v>277</v>
      </c>
      <c r="C39" s="3" t="s">
        <v>104</v>
      </c>
      <c r="D39" s="3" t="s">
        <v>190</v>
      </c>
      <c r="E39" s="3" t="s">
        <v>205</v>
      </c>
      <c r="F39" s="3" t="s">
        <v>221</v>
      </c>
      <c r="G39" s="3" t="s">
        <v>222</v>
      </c>
      <c r="H39" s="3" t="s">
        <v>124</v>
      </c>
      <c r="I39" s="3" t="s">
        <v>219</v>
      </c>
      <c r="J39" s="3" t="s">
        <v>44</v>
      </c>
      <c r="K39" s="3" t="s">
        <v>224</v>
      </c>
      <c r="L39" s="3">
        <v>5</v>
      </c>
      <c r="M39" s="3">
        <v>2</v>
      </c>
      <c r="N39" s="4">
        <f t="shared" si="2"/>
        <v>3</v>
      </c>
      <c r="O39" s="5">
        <f t="shared" si="1"/>
        <v>0.4</v>
      </c>
      <c r="P39" s="3">
        <v>100</v>
      </c>
      <c r="Q39" s="6">
        <f t="shared" si="0"/>
        <v>200</v>
      </c>
      <c r="R39" s="7" t="s">
        <v>170</v>
      </c>
      <c r="S39" s="8"/>
      <c r="T39" s="9"/>
    </row>
    <row r="40" spans="1:20" ht="13.5" customHeight="1" x14ac:dyDescent="0.3">
      <c r="A40" s="10">
        <v>8</v>
      </c>
      <c r="B40" s="53" t="s">
        <v>277</v>
      </c>
      <c r="C40" s="10" t="s">
        <v>104</v>
      </c>
      <c r="D40" s="10" t="s">
        <v>190</v>
      </c>
      <c r="E40" s="10" t="s">
        <v>205</v>
      </c>
      <c r="F40" s="10" t="s">
        <v>221</v>
      </c>
      <c r="G40" s="10" t="s">
        <v>222</v>
      </c>
      <c r="H40" s="10" t="s">
        <v>124</v>
      </c>
      <c r="I40" s="10" t="s">
        <v>219</v>
      </c>
      <c r="J40" s="10" t="s">
        <v>44</v>
      </c>
      <c r="K40" s="10" t="s">
        <v>225</v>
      </c>
      <c r="L40" s="10">
        <v>1</v>
      </c>
      <c r="M40" s="10">
        <v>0</v>
      </c>
      <c r="N40" s="4">
        <f t="shared" si="2"/>
        <v>1</v>
      </c>
      <c r="O40" s="5">
        <f t="shared" si="1"/>
        <v>0</v>
      </c>
      <c r="P40" s="10">
        <v>50</v>
      </c>
      <c r="Q40" s="6">
        <f t="shared" si="0"/>
        <v>0</v>
      </c>
      <c r="R40" s="7" t="s">
        <v>170</v>
      </c>
      <c r="S40" s="8"/>
      <c r="T40" s="11"/>
    </row>
    <row r="41" spans="1:20" ht="13.5" customHeight="1" x14ac:dyDescent="0.3">
      <c r="A41" s="3">
        <v>9</v>
      </c>
      <c r="B41" s="53" t="s">
        <v>277</v>
      </c>
      <c r="C41" s="3" t="s">
        <v>104</v>
      </c>
      <c r="D41" s="3" t="s">
        <v>190</v>
      </c>
      <c r="E41" s="3" t="s">
        <v>205</v>
      </c>
      <c r="F41" s="3" t="s">
        <v>226</v>
      </c>
      <c r="G41" s="3" t="s">
        <v>227</v>
      </c>
      <c r="H41" s="3" t="s">
        <v>109</v>
      </c>
      <c r="I41" s="3" t="s">
        <v>219</v>
      </c>
      <c r="J41" s="3" t="s">
        <v>134</v>
      </c>
      <c r="K41" s="3" t="s">
        <v>228</v>
      </c>
      <c r="L41" s="3">
        <v>15</v>
      </c>
      <c r="M41" s="3">
        <v>8</v>
      </c>
      <c r="N41" s="4">
        <f t="shared" si="2"/>
        <v>7</v>
      </c>
      <c r="O41" s="5">
        <f t="shared" si="1"/>
        <v>0.53333333333333333</v>
      </c>
      <c r="P41" s="3">
        <v>50</v>
      </c>
      <c r="Q41" s="6">
        <f t="shared" si="0"/>
        <v>400</v>
      </c>
      <c r="R41" s="7" t="s">
        <v>170</v>
      </c>
      <c r="S41" s="8"/>
      <c r="T41" s="9"/>
    </row>
    <row r="42" spans="1:20" ht="13.5" customHeight="1" x14ac:dyDescent="0.3">
      <c r="A42" s="10">
        <v>10</v>
      </c>
      <c r="B42" s="53" t="s">
        <v>277</v>
      </c>
      <c r="C42" s="10" t="s">
        <v>104</v>
      </c>
      <c r="D42" s="10" t="s">
        <v>190</v>
      </c>
      <c r="E42" s="10" t="s">
        <v>205</v>
      </c>
      <c r="F42" s="10" t="s">
        <v>229</v>
      </c>
      <c r="G42" s="10" t="s">
        <v>230</v>
      </c>
      <c r="H42" s="10" t="s">
        <v>109</v>
      </c>
      <c r="I42" s="10" t="s">
        <v>219</v>
      </c>
      <c r="J42" s="10" t="s">
        <v>134</v>
      </c>
      <c r="K42" s="10" t="s">
        <v>231</v>
      </c>
      <c r="L42" s="10">
        <v>40</v>
      </c>
      <c r="M42" s="10">
        <v>19</v>
      </c>
      <c r="N42" s="4">
        <f t="shared" si="2"/>
        <v>21</v>
      </c>
      <c r="O42" s="5">
        <f t="shared" si="1"/>
        <v>0.47499999999999998</v>
      </c>
      <c r="P42" s="10">
        <v>5</v>
      </c>
      <c r="Q42" s="6">
        <f t="shared" si="0"/>
        <v>95</v>
      </c>
      <c r="R42" s="7" t="s">
        <v>170</v>
      </c>
      <c r="S42" s="8"/>
      <c r="T42" s="11"/>
    </row>
    <row r="43" spans="1:20" ht="13.5" customHeight="1" x14ac:dyDescent="0.3">
      <c r="A43" s="3">
        <v>1</v>
      </c>
      <c r="B43" s="53" t="s">
        <v>277</v>
      </c>
      <c r="C43" s="3" t="s">
        <v>104</v>
      </c>
      <c r="D43" s="3" t="s">
        <v>232</v>
      </c>
      <c r="E43" s="3" t="s">
        <v>233</v>
      </c>
      <c r="F43" s="3" t="s">
        <v>234</v>
      </c>
      <c r="G43" s="3" t="s">
        <v>235</v>
      </c>
      <c r="H43" s="3" t="s">
        <v>109</v>
      </c>
      <c r="I43" s="3" t="s">
        <v>236</v>
      </c>
      <c r="J43" s="3" t="s">
        <v>55</v>
      </c>
      <c r="K43" s="3" t="s">
        <v>237</v>
      </c>
      <c r="L43" s="3">
        <v>8</v>
      </c>
      <c r="M43" s="3">
        <v>0</v>
      </c>
      <c r="N43" s="4">
        <f t="shared" si="2"/>
        <v>8</v>
      </c>
      <c r="O43" s="5">
        <f t="shared" si="1"/>
        <v>0</v>
      </c>
      <c r="P43" s="3">
        <v>150</v>
      </c>
      <c r="Q43" s="6">
        <f t="shared" si="0"/>
        <v>0</v>
      </c>
      <c r="R43" s="7" t="s">
        <v>113</v>
      </c>
      <c r="S43" s="8" t="s">
        <v>114</v>
      </c>
      <c r="T43" s="60" t="s">
        <v>238</v>
      </c>
    </row>
    <row r="44" spans="1:20" ht="13.5" customHeight="1" x14ac:dyDescent="0.3">
      <c r="A44" s="10">
        <v>2</v>
      </c>
      <c r="B44" s="53" t="s">
        <v>277</v>
      </c>
      <c r="C44" s="10" t="s">
        <v>104</v>
      </c>
      <c r="D44" s="10" t="s">
        <v>232</v>
      </c>
      <c r="E44" s="10" t="s">
        <v>233</v>
      </c>
      <c r="F44" s="10" t="s">
        <v>234</v>
      </c>
      <c r="G44" s="10" t="s">
        <v>235</v>
      </c>
      <c r="H44" s="10" t="s">
        <v>109</v>
      </c>
      <c r="I44" s="10" t="s">
        <v>236</v>
      </c>
      <c r="J44" s="10" t="s">
        <v>55</v>
      </c>
      <c r="K44" s="10" t="s">
        <v>237</v>
      </c>
      <c r="L44" s="10">
        <v>5</v>
      </c>
      <c r="M44" s="10">
        <v>0</v>
      </c>
      <c r="N44" s="4">
        <f t="shared" si="2"/>
        <v>5</v>
      </c>
      <c r="O44" s="5">
        <f t="shared" si="1"/>
        <v>0</v>
      </c>
      <c r="P44" s="10">
        <v>250</v>
      </c>
      <c r="Q44" s="6">
        <f t="shared" si="0"/>
        <v>0</v>
      </c>
      <c r="R44" s="7" t="s">
        <v>113</v>
      </c>
      <c r="S44" s="8" t="s">
        <v>114</v>
      </c>
      <c r="T44" s="61"/>
    </row>
    <row r="45" spans="1:20" ht="13.5" customHeight="1" x14ac:dyDescent="0.3">
      <c r="A45" s="3">
        <v>3</v>
      </c>
      <c r="B45" s="53" t="s">
        <v>277</v>
      </c>
      <c r="C45" s="3" t="s">
        <v>104</v>
      </c>
      <c r="D45" s="3" t="s">
        <v>239</v>
      </c>
      <c r="E45" s="3" t="s">
        <v>233</v>
      </c>
      <c r="F45" s="3" t="s">
        <v>145</v>
      </c>
      <c r="G45" s="3" t="s">
        <v>240</v>
      </c>
      <c r="H45" s="3" t="s">
        <v>109</v>
      </c>
      <c r="I45" s="3" t="s">
        <v>236</v>
      </c>
      <c r="J45" s="3" t="s">
        <v>118</v>
      </c>
      <c r="K45" s="3" t="s">
        <v>121</v>
      </c>
      <c r="L45" s="3">
        <v>20</v>
      </c>
      <c r="M45" s="3">
        <v>20</v>
      </c>
      <c r="N45" s="4">
        <f t="shared" si="2"/>
        <v>0</v>
      </c>
      <c r="O45" s="5">
        <f t="shared" si="1"/>
        <v>1</v>
      </c>
      <c r="P45" s="3">
        <v>5</v>
      </c>
      <c r="Q45" s="6">
        <f t="shared" si="0"/>
        <v>100</v>
      </c>
      <c r="R45" s="7" t="s">
        <v>170</v>
      </c>
      <c r="S45" s="8" t="s">
        <v>114</v>
      </c>
      <c r="T45" s="60" t="s">
        <v>241</v>
      </c>
    </row>
    <row r="46" spans="1:20" ht="13.5" customHeight="1" x14ac:dyDescent="0.3">
      <c r="A46" s="10">
        <v>4</v>
      </c>
      <c r="B46" s="53" t="s">
        <v>277</v>
      </c>
      <c r="C46" s="3" t="s">
        <v>104</v>
      </c>
      <c r="D46" s="3" t="s">
        <v>239</v>
      </c>
      <c r="E46" s="3" t="s">
        <v>233</v>
      </c>
      <c r="F46" s="10" t="s">
        <v>145</v>
      </c>
      <c r="G46" s="3" t="s">
        <v>240</v>
      </c>
      <c r="H46" s="10" t="s">
        <v>109</v>
      </c>
      <c r="I46" s="3" t="s">
        <v>236</v>
      </c>
      <c r="J46" s="10" t="s">
        <v>118</v>
      </c>
      <c r="K46" s="10" t="s">
        <v>119</v>
      </c>
      <c r="L46" s="10">
        <v>21</v>
      </c>
      <c r="M46" s="10">
        <v>21</v>
      </c>
      <c r="N46" s="4">
        <f t="shared" si="2"/>
        <v>0</v>
      </c>
      <c r="O46" s="5">
        <f t="shared" si="1"/>
        <v>1</v>
      </c>
      <c r="P46" s="10">
        <v>5</v>
      </c>
      <c r="Q46" s="6">
        <f t="shared" si="0"/>
        <v>105</v>
      </c>
      <c r="R46" s="7" t="s">
        <v>170</v>
      </c>
      <c r="S46" s="8" t="s">
        <v>114</v>
      </c>
      <c r="T46" s="62"/>
    </row>
    <row r="47" spans="1:20" ht="13.5" customHeight="1" x14ac:dyDescent="0.3">
      <c r="A47" s="10">
        <v>6</v>
      </c>
      <c r="B47" s="53" t="s">
        <v>277</v>
      </c>
      <c r="C47" s="3" t="s">
        <v>104</v>
      </c>
      <c r="D47" s="3" t="s">
        <v>239</v>
      </c>
      <c r="E47" s="3" t="s">
        <v>233</v>
      </c>
      <c r="F47" s="10" t="s">
        <v>242</v>
      </c>
      <c r="G47" s="10" t="s">
        <v>243</v>
      </c>
      <c r="H47" s="3" t="s">
        <v>109</v>
      </c>
      <c r="I47" s="3" t="s">
        <v>236</v>
      </c>
      <c r="J47" s="10" t="s">
        <v>118</v>
      </c>
      <c r="K47" s="10" t="s">
        <v>244</v>
      </c>
      <c r="L47" s="10">
        <v>10</v>
      </c>
      <c r="M47" s="10">
        <v>4</v>
      </c>
      <c r="N47" s="4">
        <f t="shared" si="2"/>
        <v>6</v>
      </c>
      <c r="O47" s="5">
        <f t="shared" si="1"/>
        <v>0.4</v>
      </c>
      <c r="P47" s="10">
        <v>10</v>
      </c>
      <c r="Q47" s="6">
        <f>M47*P47</f>
        <v>40</v>
      </c>
      <c r="R47" s="7" t="s">
        <v>170</v>
      </c>
      <c r="S47" s="8" t="s">
        <v>114</v>
      </c>
      <c r="T47" s="62" t="s">
        <v>245</v>
      </c>
    </row>
    <row r="48" spans="1:20" ht="13.5" customHeight="1" x14ac:dyDescent="0.3">
      <c r="A48" s="3">
        <v>7</v>
      </c>
      <c r="B48" s="53" t="s">
        <v>277</v>
      </c>
      <c r="C48" s="3" t="s">
        <v>104</v>
      </c>
      <c r="D48" s="3" t="s">
        <v>239</v>
      </c>
      <c r="E48" s="3" t="s">
        <v>233</v>
      </c>
      <c r="F48" s="10" t="s">
        <v>242</v>
      </c>
      <c r="G48" s="10" t="s">
        <v>243</v>
      </c>
      <c r="H48" s="3" t="s">
        <v>109</v>
      </c>
      <c r="I48" s="3" t="s">
        <v>236</v>
      </c>
      <c r="J48" s="10" t="s">
        <v>118</v>
      </c>
      <c r="K48" s="3" t="s">
        <v>246</v>
      </c>
      <c r="L48" s="3">
        <v>35</v>
      </c>
      <c r="M48" s="3">
        <v>2</v>
      </c>
      <c r="N48" s="4">
        <f t="shared" si="2"/>
        <v>33</v>
      </c>
      <c r="O48" s="5">
        <f t="shared" si="1"/>
        <v>5.7142857142857141E-2</v>
      </c>
      <c r="P48" s="3">
        <v>5</v>
      </c>
      <c r="Q48" s="6">
        <f t="shared" ref="Q48:Q59" si="3">M48*P48</f>
        <v>10</v>
      </c>
      <c r="R48" s="7" t="s">
        <v>170</v>
      </c>
      <c r="S48" s="8" t="s">
        <v>114</v>
      </c>
      <c r="T48" s="62"/>
    </row>
    <row r="49" spans="1:20" ht="13.5" customHeight="1" x14ac:dyDescent="0.3">
      <c r="A49" s="10">
        <v>8</v>
      </c>
      <c r="B49" s="53" t="s">
        <v>277</v>
      </c>
      <c r="C49" s="3" t="s">
        <v>104</v>
      </c>
      <c r="D49" s="3" t="s">
        <v>239</v>
      </c>
      <c r="E49" s="3" t="s">
        <v>233</v>
      </c>
      <c r="F49" s="10" t="s">
        <v>242</v>
      </c>
      <c r="G49" s="10" t="s">
        <v>243</v>
      </c>
      <c r="H49" s="3" t="s">
        <v>109</v>
      </c>
      <c r="I49" s="3" t="s">
        <v>236</v>
      </c>
      <c r="J49" s="10" t="s">
        <v>118</v>
      </c>
      <c r="K49" s="10" t="s">
        <v>247</v>
      </c>
      <c r="L49" s="10">
        <v>35</v>
      </c>
      <c r="M49" s="10">
        <v>1</v>
      </c>
      <c r="N49" s="4">
        <f t="shared" si="2"/>
        <v>34</v>
      </c>
      <c r="O49" s="5">
        <f t="shared" si="1"/>
        <v>2.8571428571428571E-2</v>
      </c>
      <c r="P49" s="10">
        <v>5</v>
      </c>
      <c r="Q49" s="6">
        <f t="shared" si="3"/>
        <v>5</v>
      </c>
      <c r="R49" s="7" t="s">
        <v>170</v>
      </c>
      <c r="S49" s="8" t="s">
        <v>114</v>
      </c>
      <c r="T49" s="62"/>
    </row>
    <row r="50" spans="1:20" ht="13.5" customHeight="1" x14ac:dyDescent="0.3">
      <c r="A50" s="3">
        <v>9</v>
      </c>
      <c r="B50" s="53" t="s">
        <v>277</v>
      </c>
      <c r="C50" s="3" t="s">
        <v>104</v>
      </c>
      <c r="D50" s="3" t="s">
        <v>239</v>
      </c>
      <c r="E50" s="3" t="s">
        <v>233</v>
      </c>
      <c r="F50" s="10" t="s">
        <v>242</v>
      </c>
      <c r="G50" s="10" t="s">
        <v>243</v>
      </c>
      <c r="H50" s="3" t="s">
        <v>109</v>
      </c>
      <c r="I50" s="3" t="s">
        <v>236</v>
      </c>
      <c r="J50" s="10" t="s">
        <v>118</v>
      </c>
      <c r="K50" s="3" t="s">
        <v>248</v>
      </c>
      <c r="L50" s="3">
        <v>6</v>
      </c>
      <c r="M50" s="3">
        <v>3</v>
      </c>
      <c r="N50" s="4">
        <f t="shared" si="2"/>
        <v>3</v>
      </c>
      <c r="O50" s="5">
        <f t="shared" si="1"/>
        <v>0.5</v>
      </c>
      <c r="P50" s="3">
        <v>25</v>
      </c>
      <c r="Q50" s="6">
        <f t="shared" si="3"/>
        <v>75</v>
      </c>
      <c r="R50" s="7" t="s">
        <v>170</v>
      </c>
      <c r="S50" s="8" t="s">
        <v>114</v>
      </c>
      <c r="T50" s="61"/>
    </row>
    <row r="51" spans="1:20" ht="13.5" customHeight="1" x14ac:dyDescent="0.3">
      <c r="A51" s="10">
        <v>10</v>
      </c>
      <c r="B51" s="53" t="s">
        <v>277</v>
      </c>
      <c r="C51" s="3" t="s">
        <v>104</v>
      </c>
      <c r="D51" s="3" t="s">
        <v>239</v>
      </c>
      <c r="E51" s="3" t="s">
        <v>233</v>
      </c>
      <c r="F51" s="10" t="s">
        <v>249</v>
      </c>
      <c r="G51" s="10" t="s">
        <v>250</v>
      </c>
      <c r="H51" s="10" t="s">
        <v>109</v>
      </c>
      <c r="I51" s="10" t="s">
        <v>251</v>
      </c>
      <c r="J51" s="10" t="s">
        <v>51</v>
      </c>
      <c r="K51" s="10" t="s">
        <v>252</v>
      </c>
      <c r="L51" s="10">
        <v>11</v>
      </c>
      <c r="M51" s="10">
        <v>0</v>
      </c>
      <c r="N51" s="4">
        <f t="shared" si="2"/>
        <v>11</v>
      </c>
      <c r="O51" s="5">
        <f t="shared" si="1"/>
        <v>0</v>
      </c>
      <c r="P51" s="10">
        <v>200</v>
      </c>
      <c r="Q51" s="6">
        <f t="shared" si="3"/>
        <v>0</v>
      </c>
      <c r="R51" s="7" t="s">
        <v>113</v>
      </c>
      <c r="S51" s="8" t="s">
        <v>114</v>
      </c>
      <c r="T51" s="11" t="s">
        <v>253</v>
      </c>
    </row>
    <row r="52" spans="1:20" ht="13.5" customHeight="1" x14ac:dyDescent="0.3">
      <c r="A52" s="3">
        <v>11</v>
      </c>
      <c r="B52" s="53" t="s">
        <v>277</v>
      </c>
      <c r="C52" s="3" t="s">
        <v>104</v>
      </c>
      <c r="D52" s="3" t="s">
        <v>239</v>
      </c>
      <c r="E52" s="3" t="s">
        <v>233</v>
      </c>
      <c r="F52" s="3" t="s">
        <v>254</v>
      </c>
      <c r="G52" s="3" t="s">
        <v>255</v>
      </c>
      <c r="H52" s="3" t="s">
        <v>109</v>
      </c>
      <c r="I52" s="10" t="s">
        <v>251</v>
      </c>
      <c r="J52" s="3" t="s">
        <v>118</v>
      </c>
      <c r="K52" s="3" t="s">
        <v>119</v>
      </c>
      <c r="L52" s="3">
        <v>15</v>
      </c>
      <c r="M52" s="3">
        <v>10</v>
      </c>
      <c r="N52" s="4">
        <f t="shared" si="2"/>
        <v>5</v>
      </c>
      <c r="O52" s="5">
        <f t="shared" si="1"/>
        <v>0.66666666666666663</v>
      </c>
      <c r="P52" s="3">
        <v>5</v>
      </c>
      <c r="Q52" s="6">
        <f t="shared" si="3"/>
        <v>50</v>
      </c>
      <c r="R52" s="7" t="s">
        <v>170</v>
      </c>
      <c r="S52" s="8" t="s">
        <v>114</v>
      </c>
      <c r="T52" s="60" t="s">
        <v>256</v>
      </c>
    </row>
    <row r="53" spans="1:20" ht="13.5" customHeight="1" x14ac:dyDescent="0.3">
      <c r="A53" s="10">
        <v>12</v>
      </c>
      <c r="B53" s="53" t="s">
        <v>277</v>
      </c>
      <c r="C53" s="3" t="s">
        <v>104</v>
      </c>
      <c r="D53" s="3" t="s">
        <v>239</v>
      </c>
      <c r="E53" s="3" t="s">
        <v>233</v>
      </c>
      <c r="F53" s="10" t="s">
        <v>254</v>
      </c>
      <c r="G53" s="10" t="s">
        <v>255</v>
      </c>
      <c r="H53" s="10" t="s">
        <v>109</v>
      </c>
      <c r="I53" s="10" t="s">
        <v>251</v>
      </c>
      <c r="J53" s="10" t="s">
        <v>118</v>
      </c>
      <c r="K53" s="10" t="s">
        <v>257</v>
      </c>
      <c r="L53" s="10">
        <v>20</v>
      </c>
      <c r="M53" s="10">
        <v>10</v>
      </c>
      <c r="N53" s="4">
        <f t="shared" si="2"/>
        <v>10</v>
      </c>
      <c r="O53" s="5">
        <f t="shared" si="1"/>
        <v>0.5</v>
      </c>
      <c r="P53" s="10">
        <v>15</v>
      </c>
      <c r="Q53" s="6">
        <f t="shared" si="3"/>
        <v>150</v>
      </c>
      <c r="R53" s="7" t="s">
        <v>170</v>
      </c>
      <c r="S53" s="8" t="s">
        <v>114</v>
      </c>
      <c r="T53" s="62"/>
    </row>
    <row r="54" spans="1:20" ht="13.5" customHeight="1" x14ac:dyDescent="0.3">
      <c r="A54" s="3">
        <v>13</v>
      </c>
      <c r="B54" s="53" t="s">
        <v>277</v>
      </c>
      <c r="C54" s="3" t="s">
        <v>104</v>
      </c>
      <c r="D54" s="3" t="s">
        <v>232</v>
      </c>
      <c r="E54" s="3" t="s">
        <v>233</v>
      </c>
      <c r="F54" s="3" t="s">
        <v>254</v>
      </c>
      <c r="G54" s="3" t="s">
        <v>255</v>
      </c>
      <c r="H54" s="3" t="s">
        <v>109</v>
      </c>
      <c r="I54" s="3" t="s">
        <v>251</v>
      </c>
      <c r="J54" s="3" t="s">
        <v>118</v>
      </c>
      <c r="K54" s="3" t="s">
        <v>257</v>
      </c>
      <c r="L54" s="3">
        <v>10</v>
      </c>
      <c r="M54" s="3">
        <v>5</v>
      </c>
      <c r="N54" s="4">
        <f t="shared" si="2"/>
        <v>5</v>
      </c>
      <c r="O54" s="5">
        <f t="shared" si="1"/>
        <v>0.5</v>
      </c>
      <c r="P54" s="3">
        <v>10</v>
      </c>
      <c r="Q54" s="6">
        <f t="shared" si="3"/>
        <v>50</v>
      </c>
      <c r="R54" s="7" t="s">
        <v>170</v>
      </c>
      <c r="S54" s="8" t="s">
        <v>114</v>
      </c>
      <c r="T54" s="61"/>
    </row>
    <row r="55" spans="1:20" ht="13.5" customHeight="1" x14ac:dyDescent="0.3">
      <c r="A55" s="10">
        <v>1</v>
      </c>
      <c r="B55" s="53" t="s">
        <v>277</v>
      </c>
      <c r="C55" s="10" t="s">
        <v>258</v>
      </c>
      <c r="D55" s="10" t="s">
        <v>153</v>
      </c>
      <c r="E55" s="10" t="s">
        <v>259</v>
      </c>
      <c r="F55" s="10" t="s">
        <v>260</v>
      </c>
      <c r="G55" s="10" t="s">
        <v>261</v>
      </c>
      <c r="H55" s="10" t="s">
        <v>109</v>
      </c>
      <c r="I55" s="10" t="s">
        <v>262</v>
      </c>
      <c r="J55" s="10" t="s">
        <v>263</v>
      </c>
      <c r="K55" s="10" t="s">
        <v>264</v>
      </c>
      <c r="L55" s="10">
        <v>50</v>
      </c>
      <c r="M55" s="10">
        <v>16</v>
      </c>
      <c r="N55" s="4">
        <v>34</v>
      </c>
      <c r="O55" s="5">
        <v>0.32</v>
      </c>
      <c r="P55" s="10">
        <v>10</v>
      </c>
      <c r="Q55" s="6">
        <f t="shared" si="3"/>
        <v>160</v>
      </c>
      <c r="R55" s="7" t="s">
        <v>113</v>
      </c>
      <c r="S55" s="8" t="s">
        <v>114</v>
      </c>
      <c r="T55" s="11" t="s">
        <v>265</v>
      </c>
    </row>
    <row r="56" spans="1:20" ht="13.5" customHeight="1" x14ac:dyDescent="0.3">
      <c r="A56" s="3">
        <v>2</v>
      </c>
      <c r="B56" s="53" t="s">
        <v>277</v>
      </c>
      <c r="C56" s="3" t="s">
        <v>258</v>
      </c>
      <c r="D56" s="3" t="s">
        <v>190</v>
      </c>
      <c r="E56" s="3" t="s">
        <v>266</v>
      </c>
      <c r="F56" s="3" t="s">
        <v>267</v>
      </c>
      <c r="G56" s="3" t="s">
        <v>268</v>
      </c>
      <c r="H56" s="3" t="s">
        <v>109</v>
      </c>
      <c r="I56" s="3" t="s">
        <v>262</v>
      </c>
      <c r="J56" s="3" t="s">
        <v>263</v>
      </c>
      <c r="K56" s="3" t="s">
        <v>119</v>
      </c>
      <c r="L56" s="3">
        <v>56</v>
      </c>
      <c r="M56" s="3">
        <v>41</v>
      </c>
      <c r="N56" s="4">
        <v>15</v>
      </c>
      <c r="O56" s="5">
        <v>0.73</v>
      </c>
      <c r="P56" s="3">
        <v>5</v>
      </c>
      <c r="Q56" s="6">
        <f t="shared" si="3"/>
        <v>205</v>
      </c>
      <c r="R56" s="7" t="s">
        <v>113</v>
      </c>
      <c r="S56" s="8" t="s">
        <v>126</v>
      </c>
      <c r="T56" s="9" t="s">
        <v>269</v>
      </c>
    </row>
    <row r="57" spans="1:20" ht="13.5" customHeight="1" x14ac:dyDescent="0.3">
      <c r="A57" s="10">
        <v>3</v>
      </c>
      <c r="B57" s="53" t="s">
        <v>277</v>
      </c>
      <c r="C57" s="10" t="s">
        <v>270</v>
      </c>
      <c r="D57" s="10" t="s">
        <v>153</v>
      </c>
      <c r="E57" s="10" t="s">
        <v>266</v>
      </c>
      <c r="F57" s="10" t="s">
        <v>267</v>
      </c>
      <c r="G57" s="10" t="s">
        <v>268</v>
      </c>
      <c r="H57" s="10" t="s">
        <v>109</v>
      </c>
      <c r="I57" s="10" t="s">
        <v>262</v>
      </c>
      <c r="J57" s="10" t="s">
        <v>263</v>
      </c>
      <c r="K57" s="10" t="s">
        <v>121</v>
      </c>
      <c r="L57" s="10">
        <v>33</v>
      </c>
      <c r="M57" s="10">
        <v>17</v>
      </c>
      <c r="N57" s="4">
        <v>16</v>
      </c>
      <c r="O57" s="5">
        <v>0.52</v>
      </c>
      <c r="P57" s="10">
        <v>5</v>
      </c>
      <c r="Q57" s="6">
        <f t="shared" si="3"/>
        <v>85</v>
      </c>
      <c r="R57" s="7" t="s">
        <v>113</v>
      </c>
      <c r="S57" s="8" t="s">
        <v>126</v>
      </c>
      <c r="T57" s="11" t="s">
        <v>269</v>
      </c>
    </row>
    <row r="58" spans="1:20" ht="13.5" customHeight="1" x14ac:dyDescent="0.3">
      <c r="A58" s="3">
        <v>4</v>
      </c>
      <c r="B58" s="53" t="s">
        <v>277</v>
      </c>
      <c r="C58" s="3" t="s">
        <v>270</v>
      </c>
      <c r="D58" s="3" t="s">
        <v>153</v>
      </c>
      <c r="E58" s="3" t="s">
        <v>266</v>
      </c>
      <c r="F58" s="3" t="s">
        <v>271</v>
      </c>
      <c r="G58" s="3" t="s">
        <v>272</v>
      </c>
      <c r="H58" s="3" t="s">
        <v>109</v>
      </c>
      <c r="I58" s="3" t="s">
        <v>262</v>
      </c>
      <c r="J58" s="3" t="s">
        <v>263</v>
      </c>
      <c r="K58" s="3" t="s">
        <v>273</v>
      </c>
      <c r="L58" s="3">
        <v>60</v>
      </c>
      <c r="M58" s="3">
        <v>51</v>
      </c>
      <c r="N58" s="4">
        <v>9</v>
      </c>
      <c r="O58" s="5">
        <v>0.85</v>
      </c>
      <c r="P58" s="3">
        <v>5</v>
      </c>
      <c r="Q58" s="6">
        <f t="shared" si="3"/>
        <v>255</v>
      </c>
      <c r="R58" s="7" t="s">
        <v>113</v>
      </c>
      <c r="S58" s="8" t="s">
        <v>114</v>
      </c>
      <c r="T58" s="9" t="s">
        <v>274</v>
      </c>
    </row>
    <row r="59" spans="1:20" ht="13.5" customHeight="1" x14ac:dyDescent="0.3">
      <c r="A59" s="10">
        <v>5</v>
      </c>
      <c r="B59" s="53" t="s">
        <v>277</v>
      </c>
      <c r="C59" s="10" t="s">
        <v>270</v>
      </c>
      <c r="D59" s="10" t="s">
        <v>153</v>
      </c>
      <c r="E59" s="10" t="s">
        <v>266</v>
      </c>
      <c r="F59" s="10" t="s">
        <v>271</v>
      </c>
      <c r="G59" s="10" t="s">
        <v>275</v>
      </c>
      <c r="H59" s="10" t="s">
        <v>124</v>
      </c>
      <c r="I59" s="10" t="s">
        <v>262</v>
      </c>
      <c r="J59" s="10" t="s">
        <v>263</v>
      </c>
      <c r="K59" s="10" t="s">
        <v>248</v>
      </c>
      <c r="L59" s="10">
        <v>24</v>
      </c>
      <c r="M59" s="10">
        <v>12</v>
      </c>
      <c r="N59" s="4">
        <v>12</v>
      </c>
      <c r="O59" s="5">
        <v>0.5</v>
      </c>
      <c r="P59" s="10">
        <v>20</v>
      </c>
      <c r="Q59" s="6">
        <f t="shared" si="3"/>
        <v>240</v>
      </c>
      <c r="R59" s="7" t="s">
        <v>113</v>
      </c>
      <c r="S59" s="8" t="s">
        <v>114</v>
      </c>
      <c r="T59" s="11" t="s">
        <v>276</v>
      </c>
    </row>
    <row r="60" spans="1:20" ht="13.5" customHeight="1" x14ac:dyDescent="0.3">
      <c r="A60" s="3">
        <v>57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4">
        <f t="shared" ref="N60:N67" si="4">IFERROR(L60-M60,"")</f>
        <v>0</v>
      </c>
      <c r="O60" s="5" t="str">
        <f t="shared" ref="O60:O67" si="5">IFERROR(M60/L60,"")</f>
        <v/>
      </c>
      <c r="P60" s="3"/>
      <c r="Q60" s="6">
        <f t="shared" ref="Q60:Q67" si="6">IFERROR(M60*P60,"")</f>
        <v>0</v>
      </c>
      <c r="R60" s="7"/>
      <c r="S60" s="8"/>
      <c r="T60" s="9"/>
    </row>
    <row r="61" spans="1:20" ht="13.5" customHeight="1" x14ac:dyDescent="0.3">
      <c r="A61" s="10">
        <v>58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4">
        <f t="shared" si="4"/>
        <v>0</v>
      </c>
      <c r="O61" s="5" t="str">
        <f t="shared" si="5"/>
        <v/>
      </c>
      <c r="P61" s="10"/>
      <c r="Q61" s="6">
        <f t="shared" si="6"/>
        <v>0</v>
      </c>
      <c r="R61" s="7"/>
      <c r="S61" s="8"/>
      <c r="T61" s="11"/>
    </row>
    <row r="62" spans="1:20" ht="13.5" customHeight="1" x14ac:dyDescent="0.3">
      <c r="A62" s="3">
        <v>59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4">
        <f t="shared" si="4"/>
        <v>0</v>
      </c>
      <c r="O62" s="5" t="str">
        <f t="shared" si="5"/>
        <v/>
      </c>
      <c r="P62" s="3"/>
      <c r="Q62" s="6">
        <f t="shared" si="6"/>
        <v>0</v>
      </c>
      <c r="R62" s="7"/>
      <c r="S62" s="8"/>
      <c r="T62" s="9"/>
    </row>
    <row r="63" spans="1:20" ht="13.5" customHeight="1" x14ac:dyDescent="0.3">
      <c r="A63" s="10">
        <v>60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4">
        <f t="shared" si="4"/>
        <v>0</v>
      </c>
      <c r="O63" s="5" t="str">
        <f t="shared" si="5"/>
        <v/>
      </c>
      <c r="P63" s="10"/>
      <c r="Q63" s="6">
        <f t="shared" si="6"/>
        <v>0</v>
      </c>
      <c r="R63" s="7"/>
      <c r="S63" s="8"/>
      <c r="T63" s="11"/>
    </row>
    <row r="64" spans="1:20" ht="13.5" customHeight="1" x14ac:dyDescent="0.3">
      <c r="A64" s="3">
        <v>61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4">
        <f t="shared" si="4"/>
        <v>0</v>
      </c>
      <c r="O64" s="5" t="str">
        <f t="shared" si="5"/>
        <v/>
      </c>
      <c r="P64" s="3"/>
      <c r="Q64" s="6">
        <f t="shared" si="6"/>
        <v>0</v>
      </c>
      <c r="R64" s="7"/>
      <c r="S64" s="8"/>
      <c r="T64" s="9"/>
    </row>
    <row r="65" spans="1:20" ht="13.5" customHeight="1" x14ac:dyDescent="0.3">
      <c r="A65" s="10">
        <v>62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4">
        <f t="shared" si="4"/>
        <v>0</v>
      </c>
      <c r="O65" s="5" t="str">
        <f t="shared" si="5"/>
        <v/>
      </c>
      <c r="P65" s="10"/>
      <c r="Q65" s="6">
        <f t="shared" si="6"/>
        <v>0</v>
      </c>
      <c r="R65" s="7"/>
      <c r="S65" s="8"/>
      <c r="T65" s="11"/>
    </row>
    <row r="66" spans="1:20" ht="13.5" customHeight="1" x14ac:dyDescent="0.3">
      <c r="A66" s="3">
        <v>63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4">
        <f t="shared" si="4"/>
        <v>0</v>
      </c>
      <c r="O66" s="5" t="str">
        <f t="shared" si="5"/>
        <v/>
      </c>
      <c r="P66" s="3"/>
      <c r="Q66" s="6">
        <f t="shared" si="6"/>
        <v>0</v>
      </c>
      <c r="R66" s="7"/>
      <c r="S66" s="8"/>
      <c r="T66" s="9"/>
    </row>
    <row r="67" spans="1:20" ht="13.5" customHeight="1" x14ac:dyDescent="0.3">
      <c r="A67" s="10">
        <v>64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4">
        <f t="shared" si="4"/>
        <v>0</v>
      </c>
      <c r="O67" s="5" t="str">
        <f t="shared" si="5"/>
        <v/>
      </c>
      <c r="P67" s="10"/>
      <c r="Q67" s="6">
        <f t="shared" si="6"/>
        <v>0</v>
      </c>
      <c r="R67" s="7"/>
      <c r="S67" s="8"/>
      <c r="T67" s="11"/>
    </row>
    <row r="68" spans="1:20" ht="13.5" customHeight="1" x14ac:dyDescent="0.3">
      <c r="A68" s="3">
        <v>65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4">
        <f t="shared" ref="N68:N131" si="7">IFERROR(L68-M68,"")</f>
        <v>0</v>
      </c>
      <c r="O68" s="5" t="str">
        <f t="shared" ref="O68:O131" si="8">IFERROR(M68/L68,"")</f>
        <v/>
      </c>
      <c r="P68" s="3"/>
      <c r="Q68" s="6">
        <f t="shared" ref="Q68:Q131" si="9">IFERROR(M68*P68,"")</f>
        <v>0</v>
      </c>
      <c r="R68" s="7"/>
      <c r="S68" s="8"/>
      <c r="T68" s="9"/>
    </row>
    <row r="69" spans="1:20" ht="13.5" customHeight="1" x14ac:dyDescent="0.3">
      <c r="A69" s="10">
        <v>66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4">
        <f t="shared" si="7"/>
        <v>0</v>
      </c>
      <c r="O69" s="5" t="str">
        <f t="shared" si="8"/>
        <v/>
      </c>
      <c r="P69" s="10"/>
      <c r="Q69" s="6">
        <f t="shared" si="9"/>
        <v>0</v>
      </c>
      <c r="R69" s="7"/>
      <c r="S69" s="8"/>
      <c r="T69" s="11"/>
    </row>
    <row r="70" spans="1:20" ht="13.5" customHeight="1" x14ac:dyDescent="0.3">
      <c r="A70" s="3">
        <v>67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4">
        <f t="shared" si="7"/>
        <v>0</v>
      </c>
      <c r="O70" s="5" t="str">
        <f t="shared" si="8"/>
        <v/>
      </c>
      <c r="P70" s="3"/>
      <c r="Q70" s="6">
        <f t="shared" si="9"/>
        <v>0</v>
      </c>
      <c r="R70" s="7"/>
      <c r="S70" s="8"/>
      <c r="T70" s="9"/>
    </row>
    <row r="71" spans="1:20" ht="13.5" customHeight="1" x14ac:dyDescent="0.3">
      <c r="A71" s="10">
        <v>68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4">
        <f t="shared" si="7"/>
        <v>0</v>
      </c>
      <c r="O71" s="5" t="str">
        <f t="shared" si="8"/>
        <v/>
      </c>
      <c r="P71" s="10"/>
      <c r="Q71" s="6">
        <f t="shared" si="9"/>
        <v>0</v>
      </c>
      <c r="R71" s="7"/>
      <c r="S71" s="8"/>
      <c r="T71" s="11"/>
    </row>
    <row r="72" spans="1:20" ht="13.5" customHeight="1" x14ac:dyDescent="0.3">
      <c r="A72" s="3">
        <v>69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4">
        <f t="shared" si="7"/>
        <v>0</v>
      </c>
      <c r="O72" s="5" t="str">
        <f t="shared" si="8"/>
        <v/>
      </c>
      <c r="P72" s="3"/>
      <c r="Q72" s="6">
        <f t="shared" si="9"/>
        <v>0</v>
      </c>
      <c r="R72" s="7"/>
      <c r="S72" s="8"/>
      <c r="T72" s="9"/>
    </row>
    <row r="73" spans="1:20" ht="13.5" customHeight="1" x14ac:dyDescent="0.3">
      <c r="A73" s="10">
        <v>70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4">
        <f t="shared" si="7"/>
        <v>0</v>
      </c>
      <c r="O73" s="5" t="str">
        <f t="shared" si="8"/>
        <v/>
      </c>
      <c r="P73" s="10"/>
      <c r="Q73" s="6">
        <f t="shared" si="9"/>
        <v>0</v>
      </c>
      <c r="R73" s="7"/>
      <c r="S73" s="8"/>
      <c r="T73" s="11"/>
    </row>
    <row r="74" spans="1:20" ht="13.5" customHeight="1" x14ac:dyDescent="0.3">
      <c r="A74" s="3">
        <v>71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4">
        <f t="shared" si="7"/>
        <v>0</v>
      </c>
      <c r="O74" s="5" t="str">
        <f t="shared" si="8"/>
        <v/>
      </c>
      <c r="P74" s="3"/>
      <c r="Q74" s="6">
        <f t="shared" si="9"/>
        <v>0</v>
      </c>
      <c r="R74" s="7"/>
      <c r="S74" s="8"/>
      <c r="T74" s="9"/>
    </row>
    <row r="75" spans="1:20" ht="13.5" customHeight="1" x14ac:dyDescent="0.3">
      <c r="A75" s="10">
        <v>72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4">
        <f t="shared" si="7"/>
        <v>0</v>
      </c>
      <c r="O75" s="5" t="str">
        <f t="shared" si="8"/>
        <v/>
      </c>
      <c r="P75" s="10"/>
      <c r="Q75" s="6">
        <f t="shared" si="9"/>
        <v>0</v>
      </c>
      <c r="R75" s="7"/>
      <c r="S75" s="8"/>
      <c r="T75" s="11"/>
    </row>
    <row r="76" spans="1:20" ht="13.5" customHeight="1" x14ac:dyDescent="0.3">
      <c r="A76" s="3">
        <v>73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4">
        <f t="shared" si="7"/>
        <v>0</v>
      </c>
      <c r="O76" s="5" t="str">
        <f t="shared" si="8"/>
        <v/>
      </c>
      <c r="P76" s="3"/>
      <c r="Q76" s="6">
        <f t="shared" si="9"/>
        <v>0</v>
      </c>
      <c r="R76" s="7"/>
      <c r="S76" s="8"/>
      <c r="T76" s="9"/>
    </row>
    <row r="77" spans="1:20" ht="13.5" customHeight="1" x14ac:dyDescent="0.3">
      <c r="A77" s="10">
        <v>74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4">
        <f t="shared" si="7"/>
        <v>0</v>
      </c>
      <c r="O77" s="5" t="str">
        <f t="shared" si="8"/>
        <v/>
      </c>
      <c r="P77" s="10"/>
      <c r="Q77" s="6">
        <f t="shared" si="9"/>
        <v>0</v>
      </c>
      <c r="R77" s="7"/>
      <c r="S77" s="8"/>
      <c r="T77" s="11"/>
    </row>
    <row r="78" spans="1:20" ht="13.5" customHeight="1" x14ac:dyDescent="0.3">
      <c r="A78" s="3">
        <v>75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4">
        <f t="shared" si="7"/>
        <v>0</v>
      </c>
      <c r="O78" s="5" t="str">
        <f t="shared" si="8"/>
        <v/>
      </c>
      <c r="P78" s="3"/>
      <c r="Q78" s="6">
        <f t="shared" si="9"/>
        <v>0</v>
      </c>
      <c r="R78" s="7"/>
      <c r="S78" s="8"/>
      <c r="T78" s="9"/>
    </row>
    <row r="79" spans="1:20" ht="13.5" customHeight="1" x14ac:dyDescent="0.3">
      <c r="A79" s="10">
        <v>76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4">
        <f t="shared" si="7"/>
        <v>0</v>
      </c>
      <c r="O79" s="5" t="str">
        <f t="shared" si="8"/>
        <v/>
      </c>
      <c r="P79" s="10"/>
      <c r="Q79" s="6">
        <f t="shared" si="9"/>
        <v>0</v>
      </c>
      <c r="R79" s="7"/>
      <c r="S79" s="8"/>
      <c r="T79" s="11"/>
    </row>
    <row r="80" spans="1:20" ht="13.5" customHeight="1" x14ac:dyDescent="0.3">
      <c r="A80" s="3">
        <v>77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4">
        <f t="shared" si="7"/>
        <v>0</v>
      </c>
      <c r="O80" s="5" t="str">
        <f t="shared" si="8"/>
        <v/>
      </c>
      <c r="P80" s="3"/>
      <c r="Q80" s="6">
        <f t="shared" si="9"/>
        <v>0</v>
      </c>
      <c r="R80" s="7"/>
      <c r="S80" s="8"/>
      <c r="T80" s="9"/>
    </row>
    <row r="81" spans="1:20" ht="13.5" customHeight="1" x14ac:dyDescent="0.3">
      <c r="A81" s="10">
        <v>78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4">
        <f t="shared" si="7"/>
        <v>0</v>
      </c>
      <c r="O81" s="5" t="str">
        <f t="shared" si="8"/>
        <v/>
      </c>
      <c r="P81" s="10"/>
      <c r="Q81" s="6">
        <f t="shared" si="9"/>
        <v>0</v>
      </c>
      <c r="R81" s="7"/>
      <c r="S81" s="8"/>
      <c r="T81" s="11"/>
    </row>
    <row r="82" spans="1:20" ht="13.5" customHeight="1" x14ac:dyDescent="0.3">
      <c r="A82" s="3">
        <v>79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4">
        <f t="shared" si="7"/>
        <v>0</v>
      </c>
      <c r="O82" s="5" t="str">
        <f t="shared" si="8"/>
        <v/>
      </c>
      <c r="P82" s="3"/>
      <c r="Q82" s="6">
        <f t="shared" si="9"/>
        <v>0</v>
      </c>
      <c r="R82" s="7"/>
      <c r="S82" s="8"/>
      <c r="T82" s="9"/>
    </row>
    <row r="83" spans="1:20" ht="13.5" customHeight="1" x14ac:dyDescent="0.3">
      <c r="A83" s="10">
        <v>80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4">
        <f t="shared" si="7"/>
        <v>0</v>
      </c>
      <c r="O83" s="5" t="str">
        <f t="shared" si="8"/>
        <v/>
      </c>
      <c r="P83" s="10"/>
      <c r="Q83" s="6">
        <f t="shared" si="9"/>
        <v>0</v>
      </c>
      <c r="R83" s="7"/>
      <c r="S83" s="8"/>
      <c r="T83" s="11"/>
    </row>
    <row r="84" spans="1:20" ht="13.5" customHeight="1" x14ac:dyDescent="0.3">
      <c r="A84" s="3">
        <v>81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4">
        <f t="shared" si="7"/>
        <v>0</v>
      </c>
      <c r="O84" s="5" t="str">
        <f t="shared" si="8"/>
        <v/>
      </c>
      <c r="P84" s="3"/>
      <c r="Q84" s="6">
        <f t="shared" si="9"/>
        <v>0</v>
      </c>
      <c r="R84" s="7"/>
      <c r="S84" s="8"/>
      <c r="T84" s="9"/>
    </row>
    <row r="85" spans="1:20" ht="13.5" customHeight="1" x14ac:dyDescent="0.3">
      <c r="A85" s="10">
        <v>82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4">
        <f t="shared" si="7"/>
        <v>0</v>
      </c>
      <c r="O85" s="5" t="str">
        <f t="shared" si="8"/>
        <v/>
      </c>
      <c r="P85" s="10"/>
      <c r="Q85" s="6">
        <f t="shared" si="9"/>
        <v>0</v>
      </c>
      <c r="R85" s="7"/>
      <c r="S85" s="8"/>
      <c r="T85" s="11"/>
    </row>
    <row r="86" spans="1:20" ht="13.5" customHeight="1" x14ac:dyDescent="0.3">
      <c r="A86" s="3">
        <v>83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4">
        <f t="shared" si="7"/>
        <v>0</v>
      </c>
      <c r="O86" s="5" t="str">
        <f t="shared" si="8"/>
        <v/>
      </c>
      <c r="P86" s="3"/>
      <c r="Q86" s="6">
        <f t="shared" si="9"/>
        <v>0</v>
      </c>
      <c r="R86" s="7"/>
      <c r="S86" s="8"/>
      <c r="T86" s="9"/>
    </row>
    <row r="87" spans="1:20" ht="13.5" customHeight="1" x14ac:dyDescent="0.3">
      <c r="A87" s="10">
        <v>84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4">
        <f t="shared" si="7"/>
        <v>0</v>
      </c>
      <c r="O87" s="5" t="str">
        <f t="shared" si="8"/>
        <v/>
      </c>
      <c r="P87" s="10"/>
      <c r="Q87" s="6">
        <f t="shared" si="9"/>
        <v>0</v>
      </c>
      <c r="R87" s="7"/>
      <c r="S87" s="8"/>
      <c r="T87" s="11"/>
    </row>
    <row r="88" spans="1:20" ht="13.5" customHeight="1" x14ac:dyDescent="0.3">
      <c r="A88" s="3">
        <v>85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4">
        <f t="shared" si="7"/>
        <v>0</v>
      </c>
      <c r="O88" s="5" t="str">
        <f t="shared" si="8"/>
        <v/>
      </c>
      <c r="P88" s="3"/>
      <c r="Q88" s="6">
        <f t="shared" si="9"/>
        <v>0</v>
      </c>
      <c r="R88" s="7"/>
      <c r="S88" s="8"/>
      <c r="T88" s="9"/>
    </row>
    <row r="89" spans="1:20" ht="13.5" customHeight="1" x14ac:dyDescent="0.3">
      <c r="A89" s="10">
        <v>86</v>
      </c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4">
        <f t="shared" si="7"/>
        <v>0</v>
      </c>
      <c r="O89" s="5" t="str">
        <f t="shared" si="8"/>
        <v/>
      </c>
      <c r="P89" s="10"/>
      <c r="Q89" s="6">
        <f t="shared" si="9"/>
        <v>0</v>
      </c>
      <c r="R89" s="7"/>
      <c r="S89" s="8"/>
      <c r="T89" s="11"/>
    </row>
    <row r="90" spans="1:20" ht="13.5" customHeight="1" x14ac:dyDescent="0.3">
      <c r="A90" s="3">
        <v>87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4">
        <f t="shared" si="7"/>
        <v>0</v>
      </c>
      <c r="O90" s="5" t="str">
        <f t="shared" si="8"/>
        <v/>
      </c>
      <c r="P90" s="3"/>
      <c r="Q90" s="6">
        <f t="shared" si="9"/>
        <v>0</v>
      </c>
      <c r="R90" s="7"/>
      <c r="S90" s="8"/>
      <c r="T90" s="9"/>
    </row>
    <row r="91" spans="1:20" ht="13.5" customHeight="1" x14ac:dyDescent="0.3">
      <c r="A91" s="10">
        <v>88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4">
        <f t="shared" si="7"/>
        <v>0</v>
      </c>
      <c r="O91" s="5" t="str">
        <f t="shared" si="8"/>
        <v/>
      </c>
      <c r="P91" s="10"/>
      <c r="Q91" s="6">
        <f t="shared" si="9"/>
        <v>0</v>
      </c>
      <c r="R91" s="7"/>
      <c r="S91" s="8"/>
      <c r="T91" s="11"/>
    </row>
    <row r="92" spans="1:20" ht="13.5" customHeight="1" x14ac:dyDescent="0.3">
      <c r="A92" s="3">
        <v>89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4">
        <f t="shared" si="7"/>
        <v>0</v>
      </c>
      <c r="O92" s="5" t="str">
        <f t="shared" si="8"/>
        <v/>
      </c>
      <c r="P92" s="3"/>
      <c r="Q92" s="6">
        <f t="shared" si="9"/>
        <v>0</v>
      </c>
      <c r="R92" s="7"/>
      <c r="S92" s="8"/>
      <c r="T92" s="9"/>
    </row>
    <row r="93" spans="1:20" ht="13.5" customHeight="1" x14ac:dyDescent="0.3">
      <c r="A93" s="10">
        <v>90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4">
        <f t="shared" si="7"/>
        <v>0</v>
      </c>
      <c r="O93" s="5" t="str">
        <f t="shared" si="8"/>
        <v/>
      </c>
      <c r="P93" s="10"/>
      <c r="Q93" s="6">
        <f t="shared" si="9"/>
        <v>0</v>
      </c>
      <c r="R93" s="7"/>
      <c r="S93" s="8"/>
      <c r="T93" s="11"/>
    </row>
    <row r="94" spans="1:20" ht="13.5" customHeight="1" x14ac:dyDescent="0.3">
      <c r="A94" s="3">
        <v>91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4">
        <f t="shared" si="7"/>
        <v>0</v>
      </c>
      <c r="O94" s="5" t="str">
        <f t="shared" si="8"/>
        <v/>
      </c>
      <c r="P94" s="3"/>
      <c r="Q94" s="6">
        <f t="shared" si="9"/>
        <v>0</v>
      </c>
      <c r="R94" s="7"/>
      <c r="S94" s="8"/>
      <c r="T94" s="9"/>
    </row>
    <row r="95" spans="1:20" ht="13.5" customHeight="1" x14ac:dyDescent="0.3">
      <c r="A95" s="10">
        <v>92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4">
        <f t="shared" si="7"/>
        <v>0</v>
      </c>
      <c r="O95" s="5" t="str">
        <f t="shared" si="8"/>
        <v/>
      </c>
      <c r="P95" s="10"/>
      <c r="Q95" s="6">
        <f t="shared" si="9"/>
        <v>0</v>
      </c>
      <c r="R95" s="7"/>
      <c r="S95" s="8"/>
      <c r="T95" s="11"/>
    </row>
    <row r="96" spans="1:20" ht="13.5" customHeight="1" x14ac:dyDescent="0.3">
      <c r="A96" s="3">
        <v>93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4">
        <f t="shared" si="7"/>
        <v>0</v>
      </c>
      <c r="O96" s="5" t="str">
        <f t="shared" si="8"/>
        <v/>
      </c>
      <c r="P96" s="3"/>
      <c r="Q96" s="6">
        <f t="shared" si="9"/>
        <v>0</v>
      </c>
      <c r="R96" s="7"/>
      <c r="S96" s="8"/>
      <c r="T96" s="9"/>
    </row>
    <row r="97" spans="1:20" ht="13.5" customHeight="1" x14ac:dyDescent="0.3">
      <c r="A97" s="10">
        <v>94</v>
      </c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4">
        <f t="shared" si="7"/>
        <v>0</v>
      </c>
      <c r="O97" s="5" t="str">
        <f t="shared" si="8"/>
        <v/>
      </c>
      <c r="P97" s="10"/>
      <c r="Q97" s="6">
        <f t="shared" si="9"/>
        <v>0</v>
      </c>
      <c r="R97" s="7"/>
      <c r="S97" s="8"/>
      <c r="T97" s="11"/>
    </row>
    <row r="98" spans="1:20" ht="13.5" customHeight="1" x14ac:dyDescent="0.3">
      <c r="A98" s="3">
        <v>95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4">
        <f t="shared" si="7"/>
        <v>0</v>
      </c>
      <c r="O98" s="5" t="str">
        <f t="shared" si="8"/>
        <v/>
      </c>
      <c r="P98" s="3"/>
      <c r="Q98" s="6">
        <f t="shared" si="9"/>
        <v>0</v>
      </c>
      <c r="R98" s="7"/>
      <c r="S98" s="8"/>
      <c r="T98" s="9"/>
    </row>
    <row r="99" spans="1:20" ht="13.5" customHeight="1" x14ac:dyDescent="0.3">
      <c r="A99" s="10">
        <v>96</v>
      </c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4">
        <f t="shared" si="7"/>
        <v>0</v>
      </c>
      <c r="O99" s="5" t="str">
        <f t="shared" si="8"/>
        <v/>
      </c>
      <c r="P99" s="10"/>
      <c r="Q99" s="6">
        <f t="shared" si="9"/>
        <v>0</v>
      </c>
      <c r="R99" s="7"/>
      <c r="S99" s="8"/>
      <c r="T99" s="11"/>
    </row>
    <row r="100" spans="1:20" ht="13.5" customHeight="1" x14ac:dyDescent="0.3">
      <c r="A100" s="3">
        <v>97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4">
        <f t="shared" si="7"/>
        <v>0</v>
      </c>
      <c r="O100" s="5" t="str">
        <f t="shared" si="8"/>
        <v/>
      </c>
      <c r="P100" s="3"/>
      <c r="Q100" s="6">
        <f t="shared" si="9"/>
        <v>0</v>
      </c>
      <c r="R100" s="7"/>
      <c r="S100" s="8"/>
      <c r="T100" s="9"/>
    </row>
    <row r="101" spans="1:20" ht="13.5" customHeight="1" x14ac:dyDescent="0.3">
      <c r="A101" s="10">
        <v>98</v>
      </c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4">
        <f t="shared" si="7"/>
        <v>0</v>
      </c>
      <c r="O101" s="5" t="str">
        <f t="shared" si="8"/>
        <v/>
      </c>
      <c r="P101" s="10"/>
      <c r="Q101" s="6">
        <f t="shared" si="9"/>
        <v>0</v>
      </c>
      <c r="R101" s="7"/>
      <c r="S101" s="8"/>
      <c r="T101" s="11"/>
    </row>
    <row r="102" spans="1:20" ht="13.5" customHeight="1" x14ac:dyDescent="0.3">
      <c r="A102" s="3">
        <v>99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4">
        <f t="shared" si="7"/>
        <v>0</v>
      </c>
      <c r="O102" s="5" t="str">
        <f t="shared" si="8"/>
        <v/>
      </c>
      <c r="P102" s="3"/>
      <c r="Q102" s="6">
        <f t="shared" si="9"/>
        <v>0</v>
      </c>
      <c r="R102" s="7"/>
      <c r="S102" s="8"/>
      <c r="T102" s="9"/>
    </row>
    <row r="103" spans="1:20" ht="13.5" customHeight="1" x14ac:dyDescent="0.3">
      <c r="A103" s="10">
        <v>100</v>
      </c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4">
        <f t="shared" si="7"/>
        <v>0</v>
      </c>
      <c r="O103" s="5" t="str">
        <f t="shared" si="8"/>
        <v/>
      </c>
      <c r="P103" s="10"/>
      <c r="Q103" s="6">
        <f t="shared" si="9"/>
        <v>0</v>
      </c>
      <c r="R103" s="7"/>
      <c r="S103" s="8"/>
      <c r="T103" s="11"/>
    </row>
    <row r="104" spans="1:20" ht="13.5" customHeight="1" x14ac:dyDescent="0.3">
      <c r="A104" s="3">
        <v>101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4">
        <f t="shared" si="7"/>
        <v>0</v>
      </c>
      <c r="O104" s="5" t="str">
        <f t="shared" si="8"/>
        <v/>
      </c>
      <c r="P104" s="3"/>
      <c r="Q104" s="6">
        <f t="shared" si="9"/>
        <v>0</v>
      </c>
      <c r="R104" s="7"/>
      <c r="S104" s="8"/>
      <c r="T104" s="9"/>
    </row>
    <row r="105" spans="1:20" ht="13.5" customHeight="1" x14ac:dyDescent="0.3">
      <c r="A105" s="10">
        <v>102</v>
      </c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4">
        <f t="shared" si="7"/>
        <v>0</v>
      </c>
      <c r="O105" s="5" t="str">
        <f t="shared" si="8"/>
        <v/>
      </c>
      <c r="P105" s="10"/>
      <c r="Q105" s="6">
        <f t="shared" si="9"/>
        <v>0</v>
      </c>
      <c r="R105" s="7"/>
      <c r="S105" s="8"/>
      <c r="T105" s="11"/>
    </row>
    <row r="106" spans="1:20" ht="13.5" customHeight="1" x14ac:dyDescent="0.3">
      <c r="A106" s="3">
        <v>103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4">
        <f t="shared" si="7"/>
        <v>0</v>
      </c>
      <c r="O106" s="5" t="str">
        <f t="shared" si="8"/>
        <v/>
      </c>
      <c r="P106" s="3"/>
      <c r="Q106" s="6">
        <f t="shared" si="9"/>
        <v>0</v>
      </c>
      <c r="R106" s="7"/>
      <c r="S106" s="8"/>
      <c r="T106" s="9"/>
    </row>
    <row r="107" spans="1:20" ht="13.5" customHeight="1" x14ac:dyDescent="0.3">
      <c r="A107" s="10">
        <v>104</v>
      </c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4">
        <f t="shared" si="7"/>
        <v>0</v>
      </c>
      <c r="O107" s="5" t="str">
        <f t="shared" si="8"/>
        <v/>
      </c>
      <c r="P107" s="10"/>
      <c r="Q107" s="6">
        <f t="shared" si="9"/>
        <v>0</v>
      </c>
      <c r="R107" s="7"/>
      <c r="S107" s="8"/>
      <c r="T107" s="11"/>
    </row>
    <row r="108" spans="1:20" ht="13.5" customHeight="1" x14ac:dyDescent="0.3">
      <c r="A108" s="3">
        <v>105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4">
        <f t="shared" si="7"/>
        <v>0</v>
      </c>
      <c r="O108" s="5" t="str">
        <f t="shared" si="8"/>
        <v/>
      </c>
      <c r="P108" s="3"/>
      <c r="Q108" s="6">
        <f t="shared" si="9"/>
        <v>0</v>
      </c>
      <c r="R108" s="7"/>
      <c r="S108" s="8"/>
      <c r="T108" s="9"/>
    </row>
    <row r="109" spans="1:20" ht="13.5" customHeight="1" x14ac:dyDescent="0.3">
      <c r="A109" s="10">
        <v>106</v>
      </c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4">
        <f t="shared" si="7"/>
        <v>0</v>
      </c>
      <c r="O109" s="5" t="str">
        <f t="shared" si="8"/>
        <v/>
      </c>
      <c r="P109" s="10"/>
      <c r="Q109" s="6">
        <f t="shared" si="9"/>
        <v>0</v>
      </c>
      <c r="R109" s="7"/>
      <c r="S109" s="8"/>
      <c r="T109" s="11"/>
    </row>
    <row r="110" spans="1:20" ht="13.5" customHeight="1" x14ac:dyDescent="0.3">
      <c r="A110" s="3">
        <v>107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4">
        <f t="shared" si="7"/>
        <v>0</v>
      </c>
      <c r="O110" s="5" t="str">
        <f t="shared" si="8"/>
        <v/>
      </c>
      <c r="P110" s="3"/>
      <c r="Q110" s="6">
        <f t="shared" si="9"/>
        <v>0</v>
      </c>
      <c r="R110" s="7"/>
      <c r="S110" s="8"/>
      <c r="T110" s="9"/>
    </row>
    <row r="111" spans="1:20" ht="13.5" customHeight="1" x14ac:dyDescent="0.3">
      <c r="A111" s="10">
        <v>108</v>
      </c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4">
        <f t="shared" si="7"/>
        <v>0</v>
      </c>
      <c r="O111" s="5" t="str">
        <f t="shared" si="8"/>
        <v/>
      </c>
      <c r="P111" s="10"/>
      <c r="Q111" s="6">
        <f t="shared" si="9"/>
        <v>0</v>
      </c>
      <c r="R111" s="7"/>
      <c r="S111" s="8"/>
      <c r="T111" s="11"/>
    </row>
    <row r="112" spans="1:20" ht="13.5" customHeight="1" x14ac:dyDescent="0.3">
      <c r="A112" s="3">
        <v>109</v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4">
        <f t="shared" si="7"/>
        <v>0</v>
      </c>
      <c r="O112" s="5" t="str">
        <f t="shared" si="8"/>
        <v/>
      </c>
      <c r="P112" s="3"/>
      <c r="Q112" s="6">
        <f t="shared" si="9"/>
        <v>0</v>
      </c>
      <c r="R112" s="7"/>
      <c r="S112" s="8"/>
      <c r="T112" s="9"/>
    </row>
    <row r="113" spans="1:20" ht="13.5" customHeight="1" x14ac:dyDescent="0.3">
      <c r="A113" s="10">
        <v>110</v>
      </c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4">
        <f t="shared" si="7"/>
        <v>0</v>
      </c>
      <c r="O113" s="5" t="str">
        <f t="shared" si="8"/>
        <v/>
      </c>
      <c r="P113" s="10"/>
      <c r="Q113" s="6">
        <f t="shared" si="9"/>
        <v>0</v>
      </c>
      <c r="R113" s="7"/>
      <c r="S113" s="8"/>
      <c r="T113" s="11"/>
    </row>
    <row r="114" spans="1:20" ht="13.5" customHeight="1" x14ac:dyDescent="0.3">
      <c r="A114" s="3">
        <v>111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4">
        <f t="shared" si="7"/>
        <v>0</v>
      </c>
      <c r="O114" s="5" t="str">
        <f t="shared" si="8"/>
        <v/>
      </c>
      <c r="P114" s="3"/>
      <c r="Q114" s="6">
        <f t="shared" si="9"/>
        <v>0</v>
      </c>
      <c r="R114" s="7"/>
      <c r="S114" s="8"/>
      <c r="T114" s="9"/>
    </row>
    <row r="115" spans="1:20" ht="13.5" customHeight="1" x14ac:dyDescent="0.3">
      <c r="A115" s="10">
        <v>112</v>
      </c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4">
        <f t="shared" si="7"/>
        <v>0</v>
      </c>
      <c r="O115" s="5" t="str">
        <f t="shared" si="8"/>
        <v/>
      </c>
      <c r="P115" s="10"/>
      <c r="Q115" s="6">
        <f t="shared" si="9"/>
        <v>0</v>
      </c>
      <c r="R115" s="7"/>
      <c r="S115" s="8"/>
      <c r="T115" s="11"/>
    </row>
    <row r="116" spans="1:20" ht="13.5" customHeight="1" x14ac:dyDescent="0.3">
      <c r="A116" s="3">
        <v>113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4">
        <f t="shared" si="7"/>
        <v>0</v>
      </c>
      <c r="O116" s="5" t="str">
        <f t="shared" si="8"/>
        <v/>
      </c>
      <c r="P116" s="3"/>
      <c r="Q116" s="6">
        <f t="shared" si="9"/>
        <v>0</v>
      </c>
      <c r="R116" s="7"/>
      <c r="S116" s="8"/>
      <c r="T116" s="9"/>
    </row>
    <row r="117" spans="1:20" ht="13.5" customHeight="1" x14ac:dyDescent="0.3">
      <c r="A117" s="10">
        <v>114</v>
      </c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4">
        <f t="shared" si="7"/>
        <v>0</v>
      </c>
      <c r="O117" s="5" t="str">
        <f t="shared" si="8"/>
        <v/>
      </c>
      <c r="P117" s="10"/>
      <c r="Q117" s="6">
        <f t="shared" si="9"/>
        <v>0</v>
      </c>
      <c r="R117" s="7"/>
      <c r="S117" s="8"/>
      <c r="T117" s="11"/>
    </row>
    <row r="118" spans="1:20" ht="13.5" customHeight="1" x14ac:dyDescent="0.3">
      <c r="A118" s="3">
        <v>115</v>
      </c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4">
        <f t="shared" si="7"/>
        <v>0</v>
      </c>
      <c r="O118" s="5" t="str">
        <f t="shared" si="8"/>
        <v/>
      </c>
      <c r="P118" s="3"/>
      <c r="Q118" s="6">
        <f t="shared" si="9"/>
        <v>0</v>
      </c>
      <c r="R118" s="7"/>
      <c r="S118" s="8"/>
      <c r="T118" s="9"/>
    </row>
    <row r="119" spans="1:20" ht="13.5" customHeight="1" x14ac:dyDescent="0.3">
      <c r="A119" s="10">
        <v>116</v>
      </c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4">
        <f t="shared" si="7"/>
        <v>0</v>
      </c>
      <c r="O119" s="5" t="str">
        <f t="shared" si="8"/>
        <v/>
      </c>
      <c r="P119" s="10"/>
      <c r="Q119" s="6">
        <f t="shared" si="9"/>
        <v>0</v>
      </c>
      <c r="R119" s="7"/>
      <c r="S119" s="8"/>
      <c r="T119" s="11"/>
    </row>
    <row r="120" spans="1:20" ht="13.5" customHeight="1" x14ac:dyDescent="0.3">
      <c r="A120" s="3">
        <v>117</v>
      </c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4">
        <f t="shared" si="7"/>
        <v>0</v>
      </c>
      <c r="O120" s="5" t="str">
        <f t="shared" si="8"/>
        <v/>
      </c>
      <c r="P120" s="3"/>
      <c r="Q120" s="6">
        <f t="shared" si="9"/>
        <v>0</v>
      </c>
      <c r="R120" s="7"/>
      <c r="S120" s="8"/>
      <c r="T120" s="9"/>
    </row>
    <row r="121" spans="1:20" ht="13.5" customHeight="1" x14ac:dyDescent="0.3">
      <c r="A121" s="10">
        <v>118</v>
      </c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4">
        <f t="shared" si="7"/>
        <v>0</v>
      </c>
      <c r="O121" s="5" t="str">
        <f t="shared" si="8"/>
        <v/>
      </c>
      <c r="P121" s="10"/>
      <c r="Q121" s="6">
        <f t="shared" si="9"/>
        <v>0</v>
      </c>
      <c r="R121" s="7"/>
      <c r="S121" s="8"/>
      <c r="T121" s="11"/>
    </row>
    <row r="122" spans="1:20" ht="13.5" customHeight="1" x14ac:dyDescent="0.3">
      <c r="A122" s="3">
        <v>119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4">
        <f t="shared" si="7"/>
        <v>0</v>
      </c>
      <c r="O122" s="5" t="str">
        <f t="shared" si="8"/>
        <v/>
      </c>
      <c r="P122" s="3"/>
      <c r="Q122" s="6">
        <f t="shared" si="9"/>
        <v>0</v>
      </c>
      <c r="R122" s="7"/>
      <c r="S122" s="8"/>
      <c r="T122" s="9"/>
    </row>
    <row r="123" spans="1:20" ht="13.5" customHeight="1" x14ac:dyDescent="0.3">
      <c r="A123" s="10">
        <v>120</v>
      </c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4">
        <f t="shared" si="7"/>
        <v>0</v>
      </c>
      <c r="O123" s="5" t="str">
        <f t="shared" si="8"/>
        <v/>
      </c>
      <c r="P123" s="10"/>
      <c r="Q123" s="6">
        <f t="shared" si="9"/>
        <v>0</v>
      </c>
      <c r="R123" s="7"/>
      <c r="S123" s="8"/>
      <c r="T123" s="11"/>
    </row>
    <row r="124" spans="1:20" ht="13.5" customHeight="1" x14ac:dyDescent="0.3">
      <c r="A124" s="3">
        <v>121</v>
      </c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4">
        <f t="shared" si="7"/>
        <v>0</v>
      </c>
      <c r="O124" s="5" t="str">
        <f t="shared" si="8"/>
        <v/>
      </c>
      <c r="P124" s="3"/>
      <c r="Q124" s="6">
        <f t="shared" si="9"/>
        <v>0</v>
      </c>
      <c r="R124" s="7"/>
      <c r="S124" s="8"/>
      <c r="T124" s="9"/>
    </row>
    <row r="125" spans="1:20" ht="13.5" customHeight="1" x14ac:dyDescent="0.3">
      <c r="A125" s="10">
        <v>122</v>
      </c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4">
        <f t="shared" si="7"/>
        <v>0</v>
      </c>
      <c r="O125" s="5" t="str">
        <f t="shared" si="8"/>
        <v/>
      </c>
      <c r="P125" s="10"/>
      <c r="Q125" s="6">
        <f t="shared" si="9"/>
        <v>0</v>
      </c>
      <c r="R125" s="7"/>
      <c r="S125" s="8"/>
      <c r="T125" s="11"/>
    </row>
    <row r="126" spans="1:20" ht="13.5" customHeight="1" x14ac:dyDescent="0.3">
      <c r="A126" s="3">
        <v>123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4">
        <f t="shared" si="7"/>
        <v>0</v>
      </c>
      <c r="O126" s="5" t="str">
        <f t="shared" si="8"/>
        <v/>
      </c>
      <c r="P126" s="3"/>
      <c r="Q126" s="6">
        <f t="shared" si="9"/>
        <v>0</v>
      </c>
      <c r="R126" s="7"/>
      <c r="S126" s="8"/>
      <c r="T126" s="9"/>
    </row>
    <row r="127" spans="1:20" ht="13.5" customHeight="1" x14ac:dyDescent="0.3">
      <c r="A127" s="10">
        <v>124</v>
      </c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4">
        <f t="shared" si="7"/>
        <v>0</v>
      </c>
      <c r="O127" s="5" t="str">
        <f t="shared" si="8"/>
        <v/>
      </c>
      <c r="P127" s="10"/>
      <c r="Q127" s="6">
        <f t="shared" si="9"/>
        <v>0</v>
      </c>
      <c r="R127" s="7"/>
      <c r="S127" s="8"/>
      <c r="T127" s="11"/>
    </row>
    <row r="128" spans="1:20" ht="13.5" customHeight="1" x14ac:dyDescent="0.3">
      <c r="A128" s="3">
        <v>125</v>
      </c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4">
        <f t="shared" si="7"/>
        <v>0</v>
      </c>
      <c r="O128" s="5" t="str">
        <f t="shared" si="8"/>
        <v/>
      </c>
      <c r="P128" s="3"/>
      <c r="Q128" s="6">
        <f t="shared" si="9"/>
        <v>0</v>
      </c>
      <c r="R128" s="7"/>
      <c r="S128" s="8"/>
      <c r="T128" s="9"/>
    </row>
    <row r="129" spans="1:20" ht="13.5" customHeight="1" x14ac:dyDescent="0.3">
      <c r="A129" s="10">
        <v>126</v>
      </c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4">
        <f t="shared" si="7"/>
        <v>0</v>
      </c>
      <c r="O129" s="5" t="str">
        <f t="shared" si="8"/>
        <v/>
      </c>
      <c r="P129" s="10"/>
      <c r="Q129" s="6">
        <f t="shared" si="9"/>
        <v>0</v>
      </c>
      <c r="R129" s="7"/>
      <c r="S129" s="8"/>
      <c r="T129" s="11"/>
    </row>
    <row r="130" spans="1:20" ht="13.5" customHeight="1" x14ac:dyDescent="0.3">
      <c r="A130" s="3">
        <v>127</v>
      </c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4">
        <f t="shared" si="7"/>
        <v>0</v>
      </c>
      <c r="O130" s="5" t="str">
        <f t="shared" si="8"/>
        <v/>
      </c>
      <c r="P130" s="3"/>
      <c r="Q130" s="6">
        <f t="shared" si="9"/>
        <v>0</v>
      </c>
      <c r="R130" s="7"/>
      <c r="S130" s="8"/>
      <c r="T130" s="9"/>
    </row>
    <row r="131" spans="1:20" ht="13.5" customHeight="1" x14ac:dyDescent="0.3">
      <c r="A131" s="10">
        <v>128</v>
      </c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4">
        <f t="shared" si="7"/>
        <v>0</v>
      </c>
      <c r="O131" s="5" t="str">
        <f t="shared" si="8"/>
        <v/>
      </c>
      <c r="P131" s="10"/>
      <c r="Q131" s="6">
        <f t="shared" si="9"/>
        <v>0</v>
      </c>
      <c r="R131" s="7"/>
      <c r="S131" s="8"/>
      <c r="T131" s="11"/>
    </row>
    <row r="132" spans="1:20" ht="13.5" customHeight="1" x14ac:dyDescent="0.3">
      <c r="A132" s="3">
        <v>129</v>
      </c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4">
        <f t="shared" ref="N132:N195" si="10">IFERROR(L132-M132,"")</f>
        <v>0</v>
      </c>
      <c r="O132" s="5" t="str">
        <f t="shared" ref="O132:O195" si="11">IFERROR(M132/L132,"")</f>
        <v/>
      </c>
      <c r="P132" s="3"/>
      <c r="Q132" s="6">
        <f t="shared" ref="Q132:Q195" si="12">IFERROR(M132*P132,"")</f>
        <v>0</v>
      </c>
      <c r="R132" s="7"/>
      <c r="S132" s="8"/>
      <c r="T132" s="9"/>
    </row>
    <row r="133" spans="1:20" ht="13.5" customHeight="1" x14ac:dyDescent="0.3">
      <c r="A133" s="10">
        <v>130</v>
      </c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4">
        <f t="shared" si="10"/>
        <v>0</v>
      </c>
      <c r="O133" s="5" t="str">
        <f t="shared" si="11"/>
        <v/>
      </c>
      <c r="P133" s="10"/>
      <c r="Q133" s="6">
        <f t="shared" si="12"/>
        <v>0</v>
      </c>
      <c r="R133" s="7"/>
      <c r="S133" s="8"/>
      <c r="T133" s="11"/>
    </row>
    <row r="134" spans="1:20" ht="13.5" customHeight="1" x14ac:dyDescent="0.3">
      <c r="A134" s="3">
        <v>131</v>
      </c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4">
        <f t="shared" si="10"/>
        <v>0</v>
      </c>
      <c r="O134" s="5" t="str">
        <f t="shared" si="11"/>
        <v/>
      </c>
      <c r="P134" s="3"/>
      <c r="Q134" s="6">
        <f t="shared" si="12"/>
        <v>0</v>
      </c>
      <c r="R134" s="7"/>
      <c r="S134" s="8"/>
      <c r="T134" s="9"/>
    </row>
    <row r="135" spans="1:20" ht="13.5" customHeight="1" x14ac:dyDescent="0.3">
      <c r="A135" s="10">
        <v>132</v>
      </c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4">
        <f t="shared" si="10"/>
        <v>0</v>
      </c>
      <c r="O135" s="5" t="str">
        <f t="shared" si="11"/>
        <v/>
      </c>
      <c r="P135" s="10"/>
      <c r="Q135" s="6">
        <f t="shared" si="12"/>
        <v>0</v>
      </c>
      <c r="R135" s="7"/>
      <c r="S135" s="8"/>
      <c r="T135" s="11"/>
    </row>
    <row r="136" spans="1:20" ht="13.5" customHeight="1" x14ac:dyDescent="0.3">
      <c r="A136" s="3">
        <v>133</v>
      </c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4">
        <f t="shared" si="10"/>
        <v>0</v>
      </c>
      <c r="O136" s="5" t="str">
        <f t="shared" si="11"/>
        <v/>
      </c>
      <c r="P136" s="3"/>
      <c r="Q136" s="6">
        <f t="shared" si="12"/>
        <v>0</v>
      </c>
      <c r="R136" s="7"/>
      <c r="S136" s="8"/>
      <c r="T136" s="9"/>
    </row>
    <row r="137" spans="1:20" ht="13.5" customHeight="1" x14ac:dyDescent="0.3">
      <c r="A137" s="10">
        <v>134</v>
      </c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4">
        <f t="shared" si="10"/>
        <v>0</v>
      </c>
      <c r="O137" s="5" t="str">
        <f t="shared" si="11"/>
        <v/>
      </c>
      <c r="P137" s="10"/>
      <c r="Q137" s="6">
        <f t="shared" si="12"/>
        <v>0</v>
      </c>
      <c r="R137" s="7"/>
      <c r="S137" s="8"/>
      <c r="T137" s="11"/>
    </row>
    <row r="138" spans="1:20" ht="13.5" customHeight="1" x14ac:dyDescent="0.3">
      <c r="A138" s="3">
        <v>135</v>
      </c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4">
        <f t="shared" si="10"/>
        <v>0</v>
      </c>
      <c r="O138" s="5" t="str">
        <f t="shared" si="11"/>
        <v/>
      </c>
      <c r="P138" s="3"/>
      <c r="Q138" s="6">
        <f t="shared" si="12"/>
        <v>0</v>
      </c>
      <c r="R138" s="7"/>
      <c r="S138" s="8"/>
      <c r="T138" s="9"/>
    </row>
    <row r="139" spans="1:20" ht="13.5" customHeight="1" x14ac:dyDescent="0.3">
      <c r="A139" s="10">
        <v>136</v>
      </c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4">
        <f t="shared" si="10"/>
        <v>0</v>
      </c>
      <c r="O139" s="5" t="str">
        <f t="shared" si="11"/>
        <v/>
      </c>
      <c r="P139" s="10"/>
      <c r="Q139" s="6">
        <f t="shared" si="12"/>
        <v>0</v>
      </c>
      <c r="R139" s="7"/>
      <c r="S139" s="8"/>
      <c r="T139" s="11"/>
    </row>
    <row r="140" spans="1:20" ht="13.5" customHeight="1" x14ac:dyDescent="0.3">
      <c r="A140" s="3">
        <v>137</v>
      </c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4">
        <f t="shared" si="10"/>
        <v>0</v>
      </c>
      <c r="O140" s="5" t="str">
        <f t="shared" si="11"/>
        <v/>
      </c>
      <c r="P140" s="3"/>
      <c r="Q140" s="6">
        <f t="shared" si="12"/>
        <v>0</v>
      </c>
      <c r="R140" s="7"/>
      <c r="S140" s="8"/>
      <c r="T140" s="9"/>
    </row>
    <row r="141" spans="1:20" ht="13.5" customHeight="1" x14ac:dyDescent="0.3">
      <c r="A141" s="10">
        <v>138</v>
      </c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4">
        <f t="shared" si="10"/>
        <v>0</v>
      </c>
      <c r="O141" s="5" t="str">
        <f t="shared" si="11"/>
        <v/>
      </c>
      <c r="P141" s="10"/>
      <c r="Q141" s="6">
        <f t="shared" si="12"/>
        <v>0</v>
      </c>
      <c r="R141" s="7"/>
      <c r="S141" s="8"/>
      <c r="T141" s="11"/>
    </row>
    <row r="142" spans="1:20" ht="13.5" customHeight="1" x14ac:dyDescent="0.3">
      <c r="A142" s="3">
        <v>139</v>
      </c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4">
        <f t="shared" si="10"/>
        <v>0</v>
      </c>
      <c r="O142" s="5" t="str">
        <f t="shared" si="11"/>
        <v/>
      </c>
      <c r="P142" s="3"/>
      <c r="Q142" s="6">
        <f t="shared" si="12"/>
        <v>0</v>
      </c>
      <c r="R142" s="7"/>
      <c r="S142" s="8"/>
      <c r="T142" s="9"/>
    </row>
    <row r="143" spans="1:20" ht="13.5" customHeight="1" x14ac:dyDescent="0.3">
      <c r="A143" s="10">
        <v>140</v>
      </c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4">
        <f t="shared" si="10"/>
        <v>0</v>
      </c>
      <c r="O143" s="5" t="str">
        <f t="shared" si="11"/>
        <v/>
      </c>
      <c r="P143" s="10"/>
      <c r="Q143" s="6">
        <f t="shared" si="12"/>
        <v>0</v>
      </c>
      <c r="R143" s="7"/>
      <c r="S143" s="8"/>
      <c r="T143" s="11"/>
    </row>
    <row r="144" spans="1:20" ht="13.5" customHeight="1" x14ac:dyDescent="0.3">
      <c r="A144" s="3">
        <v>141</v>
      </c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4">
        <f t="shared" si="10"/>
        <v>0</v>
      </c>
      <c r="O144" s="5" t="str">
        <f t="shared" si="11"/>
        <v/>
      </c>
      <c r="P144" s="3"/>
      <c r="Q144" s="6">
        <f t="shared" si="12"/>
        <v>0</v>
      </c>
      <c r="R144" s="7"/>
      <c r="S144" s="8"/>
      <c r="T144" s="9"/>
    </row>
    <row r="145" spans="1:20" ht="13.5" customHeight="1" x14ac:dyDescent="0.3">
      <c r="A145" s="10">
        <v>142</v>
      </c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4">
        <f t="shared" si="10"/>
        <v>0</v>
      </c>
      <c r="O145" s="5" t="str">
        <f t="shared" si="11"/>
        <v/>
      </c>
      <c r="P145" s="10"/>
      <c r="Q145" s="6">
        <f t="shared" si="12"/>
        <v>0</v>
      </c>
      <c r="R145" s="7"/>
      <c r="S145" s="8"/>
      <c r="T145" s="11"/>
    </row>
    <row r="146" spans="1:20" ht="13.5" customHeight="1" x14ac:dyDescent="0.3">
      <c r="A146" s="3">
        <v>143</v>
      </c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4">
        <f t="shared" si="10"/>
        <v>0</v>
      </c>
      <c r="O146" s="5" t="str">
        <f t="shared" si="11"/>
        <v/>
      </c>
      <c r="P146" s="3"/>
      <c r="Q146" s="6">
        <f t="shared" si="12"/>
        <v>0</v>
      </c>
      <c r="R146" s="7"/>
      <c r="S146" s="8"/>
      <c r="T146" s="9"/>
    </row>
    <row r="147" spans="1:20" ht="13.5" customHeight="1" x14ac:dyDescent="0.3">
      <c r="A147" s="10">
        <v>144</v>
      </c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4">
        <f t="shared" si="10"/>
        <v>0</v>
      </c>
      <c r="O147" s="5" t="str">
        <f t="shared" si="11"/>
        <v/>
      </c>
      <c r="P147" s="10"/>
      <c r="Q147" s="6">
        <f t="shared" si="12"/>
        <v>0</v>
      </c>
      <c r="R147" s="7"/>
      <c r="S147" s="8"/>
      <c r="T147" s="11"/>
    </row>
    <row r="148" spans="1:20" ht="13.5" customHeight="1" x14ac:dyDescent="0.3">
      <c r="A148" s="3">
        <v>145</v>
      </c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4">
        <f t="shared" si="10"/>
        <v>0</v>
      </c>
      <c r="O148" s="5" t="str">
        <f t="shared" si="11"/>
        <v/>
      </c>
      <c r="P148" s="3"/>
      <c r="Q148" s="6">
        <f t="shared" si="12"/>
        <v>0</v>
      </c>
      <c r="R148" s="7"/>
      <c r="S148" s="8"/>
      <c r="T148" s="9"/>
    </row>
    <row r="149" spans="1:20" ht="13.5" customHeight="1" x14ac:dyDescent="0.3">
      <c r="A149" s="10">
        <v>146</v>
      </c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4">
        <f t="shared" si="10"/>
        <v>0</v>
      </c>
      <c r="O149" s="5" t="str">
        <f t="shared" si="11"/>
        <v/>
      </c>
      <c r="P149" s="10"/>
      <c r="Q149" s="6">
        <f t="shared" si="12"/>
        <v>0</v>
      </c>
      <c r="R149" s="7"/>
      <c r="S149" s="8"/>
      <c r="T149" s="11"/>
    </row>
    <row r="150" spans="1:20" ht="13.5" customHeight="1" x14ac:dyDescent="0.3">
      <c r="A150" s="3">
        <v>147</v>
      </c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4">
        <f t="shared" si="10"/>
        <v>0</v>
      </c>
      <c r="O150" s="5" t="str">
        <f t="shared" si="11"/>
        <v/>
      </c>
      <c r="P150" s="3"/>
      <c r="Q150" s="6">
        <f t="shared" si="12"/>
        <v>0</v>
      </c>
      <c r="R150" s="7"/>
      <c r="S150" s="8"/>
      <c r="T150" s="9"/>
    </row>
    <row r="151" spans="1:20" ht="13.5" customHeight="1" x14ac:dyDescent="0.3">
      <c r="A151" s="10">
        <v>148</v>
      </c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4">
        <f t="shared" si="10"/>
        <v>0</v>
      </c>
      <c r="O151" s="5" t="str">
        <f t="shared" si="11"/>
        <v/>
      </c>
      <c r="P151" s="10"/>
      <c r="Q151" s="6">
        <f t="shared" si="12"/>
        <v>0</v>
      </c>
      <c r="R151" s="7"/>
      <c r="S151" s="8"/>
      <c r="T151" s="11"/>
    </row>
    <row r="152" spans="1:20" ht="13.5" customHeight="1" x14ac:dyDescent="0.3">
      <c r="A152" s="3">
        <v>149</v>
      </c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4">
        <f t="shared" si="10"/>
        <v>0</v>
      </c>
      <c r="O152" s="5" t="str">
        <f t="shared" si="11"/>
        <v/>
      </c>
      <c r="P152" s="3"/>
      <c r="Q152" s="6">
        <f t="shared" si="12"/>
        <v>0</v>
      </c>
      <c r="R152" s="7"/>
      <c r="S152" s="8"/>
      <c r="T152" s="9"/>
    </row>
    <row r="153" spans="1:20" ht="13.5" customHeight="1" x14ac:dyDescent="0.3">
      <c r="A153" s="10">
        <v>150</v>
      </c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4">
        <f t="shared" si="10"/>
        <v>0</v>
      </c>
      <c r="O153" s="5" t="str">
        <f t="shared" si="11"/>
        <v/>
      </c>
      <c r="P153" s="10"/>
      <c r="Q153" s="6">
        <f t="shared" si="12"/>
        <v>0</v>
      </c>
      <c r="R153" s="7"/>
      <c r="S153" s="8"/>
      <c r="T153" s="11"/>
    </row>
    <row r="154" spans="1:20" ht="13.5" customHeight="1" x14ac:dyDescent="0.3">
      <c r="A154" s="3">
        <v>151</v>
      </c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4">
        <f t="shared" si="10"/>
        <v>0</v>
      </c>
      <c r="O154" s="5" t="str">
        <f t="shared" si="11"/>
        <v/>
      </c>
      <c r="P154" s="3"/>
      <c r="Q154" s="6">
        <f t="shared" si="12"/>
        <v>0</v>
      </c>
      <c r="R154" s="7"/>
      <c r="S154" s="8"/>
      <c r="T154" s="9"/>
    </row>
    <row r="155" spans="1:20" ht="13.5" customHeight="1" x14ac:dyDescent="0.3">
      <c r="A155" s="10">
        <v>152</v>
      </c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4">
        <f t="shared" si="10"/>
        <v>0</v>
      </c>
      <c r="O155" s="5" t="str">
        <f t="shared" si="11"/>
        <v/>
      </c>
      <c r="P155" s="10"/>
      <c r="Q155" s="6">
        <f t="shared" si="12"/>
        <v>0</v>
      </c>
      <c r="R155" s="7"/>
      <c r="S155" s="8"/>
      <c r="T155" s="11"/>
    </row>
    <row r="156" spans="1:20" ht="13.5" customHeight="1" x14ac:dyDescent="0.3">
      <c r="A156" s="3">
        <v>153</v>
      </c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4">
        <f t="shared" si="10"/>
        <v>0</v>
      </c>
      <c r="O156" s="5" t="str">
        <f t="shared" si="11"/>
        <v/>
      </c>
      <c r="P156" s="3"/>
      <c r="Q156" s="6">
        <f t="shared" si="12"/>
        <v>0</v>
      </c>
      <c r="R156" s="7"/>
      <c r="S156" s="8"/>
      <c r="T156" s="9"/>
    </row>
    <row r="157" spans="1:20" ht="13.5" customHeight="1" x14ac:dyDescent="0.3">
      <c r="A157" s="10">
        <v>154</v>
      </c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4">
        <f t="shared" si="10"/>
        <v>0</v>
      </c>
      <c r="O157" s="5" t="str">
        <f t="shared" si="11"/>
        <v/>
      </c>
      <c r="P157" s="10"/>
      <c r="Q157" s="6">
        <f t="shared" si="12"/>
        <v>0</v>
      </c>
      <c r="R157" s="7"/>
      <c r="S157" s="8"/>
      <c r="T157" s="11"/>
    </row>
    <row r="158" spans="1:20" ht="13.5" customHeight="1" x14ac:dyDescent="0.3">
      <c r="A158" s="3">
        <v>155</v>
      </c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4">
        <f t="shared" si="10"/>
        <v>0</v>
      </c>
      <c r="O158" s="5" t="str">
        <f t="shared" si="11"/>
        <v/>
      </c>
      <c r="P158" s="3"/>
      <c r="Q158" s="6">
        <f t="shared" si="12"/>
        <v>0</v>
      </c>
      <c r="R158" s="7"/>
      <c r="S158" s="8"/>
      <c r="T158" s="9"/>
    </row>
    <row r="159" spans="1:20" ht="13.5" customHeight="1" x14ac:dyDescent="0.3">
      <c r="A159" s="10">
        <v>156</v>
      </c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4">
        <f t="shared" si="10"/>
        <v>0</v>
      </c>
      <c r="O159" s="5" t="str">
        <f t="shared" si="11"/>
        <v/>
      </c>
      <c r="P159" s="10"/>
      <c r="Q159" s="6">
        <f t="shared" si="12"/>
        <v>0</v>
      </c>
      <c r="R159" s="7"/>
      <c r="S159" s="8"/>
      <c r="T159" s="11"/>
    </row>
    <row r="160" spans="1:20" ht="13.5" customHeight="1" x14ac:dyDescent="0.3">
      <c r="A160" s="3">
        <v>157</v>
      </c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4">
        <f t="shared" si="10"/>
        <v>0</v>
      </c>
      <c r="O160" s="5" t="str">
        <f t="shared" si="11"/>
        <v/>
      </c>
      <c r="P160" s="3"/>
      <c r="Q160" s="6">
        <f t="shared" si="12"/>
        <v>0</v>
      </c>
      <c r="R160" s="7"/>
      <c r="S160" s="8"/>
      <c r="T160" s="9"/>
    </row>
    <row r="161" spans="1:20" ht="13.5" customHeight="1" x14ac:dyDescent="0.3">
      <c r="A161" s="10">
        <v>158</v>
      </c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4">
        <f t="shared" si="10"/>
        <v>0</v>
      </c>
      <c r="O161" s="5" t="str">
        <f t="shared" si="11"/>
        <v/>
      </c>
      <c r="P161" s="10"/>
      <c r="Q161" s="6">
        <f t="shared" si="12"/>
        <v>0</v>
      </c>
      <c r="R161" s="7"/>
      <c r="S161" s="8"/>
      <c r="T161" s="11"/>
    </row>
    <row r="162" spans="1:20" ht="13.5" customHeight="1" x14ac:dyDescent="0.3">
      <c r="A162" s="3">
        <v>159</v>
      </c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4">
        <f t="shared" si="10"/>
        <v>0</v>
      </c>
      <c r="O162" s="5" t="str">
        <f t="shared" si="11"/>
        <v/>
      </c>
      <c r="P162" s="3"/>
      <c r="Q162" s="6">
        <f t="shared" si="12"/>
        <v>0</v>
      </c>
      <c r="R162" s="7"/>
      <c r="S162" s="8"/>
      <c r="T162" s="9"/>
    </row>
    <row r="163" spans="1:20" ht="13.5" customHeight="1" x14ac:dyDescent="0.3">
      <c r="A163" s="10">
        <v>160</v>
      </c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4">
        <f t="shared" si="10"/>
        <v>0</v>
      </c>
      <c r="O163" s="5" t="str">
        <f t="shared" si="11"/>
        <v/>
      </c>
      <c r="P163" s="10"/>
      <c r="Q163" s="6">
        <f t="shared" si="12"/>
        <v>0</v>
      </c>
      <c r="R163" s="7"/>
      <c r="S163" s="8"/>
      <c r="T163" s="11"/>
    </row>
    <row r="164" spans="1:20" ht="13.5" customHeight="1" x14ac:dyDescent="0.3">
      <c r="A164" s="3">
        <v>161</v>
      </c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4">
        <f t="shared" si="10"/>
        <v>0</v>
      </c>
      <c r="O164" s="5" t="str">
        <f t="shared" si="11"/>
        <v/>
      </c>
      <c r="P164" s="3"/>
      <c r="Q164" s="6">
        <f t="shared" si="12"/>
        <v>0</v>
      </c>
      <c r="R164" s="7"/>
      <c r="S164" s="8"/>
      <c r="T164" s="9"/>
    </row>
    <row r="165" spans="1:20" ht="13.5" customHeight="1" x14ac:dyDescent="0.3">
      <c r="A165" s="10">
        <v>162</v>
      </c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4">
        <f t="shared" si="10"/>
        <v>0</v>
      </c>
      <c r="O165" s="5" t="str">
        <f t="shared" si="11"/>
        <v/>
      </c>
      <c r="P165" s="10"/>
      <c r="Q165" s="6">
        <f t="shared" si="12"/>
        <v>0</v>
      </c>
      <c r="R165" s="7"/>
      <c r="S165" s="8"/>
      <c r="T165" s="11"/>
    </row>
    <row r="166" spans="1:20" ht="13.5" customHeight="1" x14ac:dyDescent="0.3">
      <c r="A166" s="3">
        <v>163</v>
      </c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4">
        <f t="shared" si="10"/>
        <v>0</v>
      </c>
      <c r="O166" s="5" t="str">
        <f t="shared" si="11"/>
        <v/>
      </c>
      <c r="P166" s="3"/>
      <c r="Q166" s="6">
        <f t="shared" si="12"/>
        <v>0</v>
      </c>
      <c r="R166" s="7"/>
      <c r="S166" s="8"/>
      <c r="T166" s="9"/>
    </row>
    <row r="167" spans="1:20" ht="13.5" customHeight="1" x14ac:dyDescent="0.3">
      <c r="A167" s="10">
        <v>164</v>
      </c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4">
        <f t="shared" si="10"/>
        <v>0</v>
      </c>
      <c r="O167" s="5" t="str">
        <f t="shared" si="11"/>
        <v/>
      </c>
      <c r="P167" s="10"/>
      <c r="Q167" s="6">
        <f t="shared" si="12"/>
        <v>0</v>
      </c>
      <c r="R167" s="7"/>
      <c r="S167" s="8"/>
      <c r="T167" s="11"/>
    </row>
    <row r="168" spans="1:20" ht="13.5" customHeight="1" x14ac:dyDescent="0.3">
      <c r="A168" s="3">
        <v>165</v>
      </c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4">
        <f t="shared" si="10"/>
        <v>0</v>
      </c>
      <c r="O168" s="5" t="str">
        <f t="shared" si="11"/>
        <v/>
      </c>
      <c r="P168" s="3"/>
      <c r="Q168" s="6">
        <f t="shared" si="12"/>
        <v>0</v>
      </c>
      <c r="R168" s="7"/>
      <c r="S168" s="8"/>
      <c r="T168" s="9"/>
    </row>
    <row r="169" spans="1:20" ht="13.5" customHeight="1" x14ac:dyDescent="0.3">
      <c r="A169" s="10">
        <v>166</v>
      </c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4">
        <f t="shared" si="10"/>
        <v>0</v>
      </c>
      <c r="O169" s="5" t="str">
        <f t="shared" si="11"/>
        <v/>
      </c>
      <c r="P169" s="10"/>
      <c r="Q169" s="6">
        <f t="shared" si="12"/>
        <v>0</v>
      </c>
      <c r="R169" s="7"/>
      <c r="S169" s="8"/>
      <c r="T169" s="11"/>
    </row>
    <row r="170" spans="1:20" ht="13.5" customHeight="1" x14ac:dyDescent="0.3">
      <c r="A170" s="3">
        <v>167</v>
      </c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4">
        <f t="shared" si="10"/>
        <v>0</v>
      </c>
      <c r="O170" s="5" t="str">
        <f t="shared" si="11"/>
        <v/>
      </c>
      <c r="P170" s="3"/>
      <c r="Q170" s="6">
        <f t="shared" si="12"/>
        <v>0</v>
      </c>
      <c r="R170" s="7"/>
      <c r="S170" s="8"/>
      <c r="T170" s="9"/>
    </row>
    <row r="171" spans="1:20" ht="13.5" customHeight="1" x14ac:dyDescent="0.3">
      <c r="A171" s="10">
        <v>168</v>
      </c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4">
        <f t="shared" si="10"/>
        <v>0</v>
      </c>
      <c r="O171" s="5" t="str">
        <f t="shared" si="11"/>
        <v/>
      </c>
      <c r="P171" s="10"/>
      <c r="Q171" s="6">
        <f t="shared" si="12"/>
        <v>0</v>
      </c>
      <c r="R171" s="7"/>
      <c r="S171" s="8"/>
      <c r="T171" s="11"/>
    </row>
    <row r="172" spans="1:20" ht="13.5" customHeight="1" x14ac:dyDescent="0.3">
      <c r="A172" s="3">
        <v>169</v>
      </c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4">
        <f t="shared" si="10"/>
        <v>0</v>
      </c>
      <c r="O172" s="5" t="str">
        <f t="shared" si="11"/>
        <v/>
      </c>
      <c r="P172" s="3"/>
      <c r="Q172" s="6">
        <f t="shared" si="12"/>
        <v>0</v>
      </c>
      <c r="R172" s="7"/>
      <c r="S172" s="8"/>
      <c r="T172" s="9"/>
    </row>
    <row r="173" spans="1:20" ht="13.5" customHeight="1" x14ac:dyDescent="0.3">
      <c r="A173" s="10">
        <v>170</v>
      </c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4">
        <f t="shared" si="10"/>
        <v>0</v>
      </c>
      <c r="O173" s="5" t="str">
        <f t="shared" si="11"/>
        <v/>
      </c>
      <c r="P173" s="10"/>
      <c r="Q173" s="6">
        <f t="shared" si="12"/>
        <v>0</v>
      </c>
      <c r="R173" s="7"/>
      <c r="S173" s="8"/>
      <c r="T173" s="11"/>
    </row>
    <row r="174" spans="1:20" ht="13.5" customHeight="1" x14ac:dyDescent="0.3">
      <c r="A174" s="3">
        <v>171</v>
      </c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4">
        <f t="shared" si="10"/>
        <v>0</v>
      </c>
      <c r="O174" s="5" t="str">
        <f t="shared" si="11"/>
        <v/>
      </c>
      <c r="P174" s="3"/>
      <c r="Q174" s="6">
        <f t="shared" si="12"/>
        <v>0</v>
      </c>
      <c r="R174" s="7"/>
      <c r="S174" s="8"/>
      <c r="T174" s="9"/>
    </row>
    <row r="175" spans="1:20" ht="13.5" customHeight="1" x14ac:dyDescent="0.3">
      <c r="A175" s="10">
        <v>172</v>
      </c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4">
        <f t="shared" si="10"/>
        <v>0</v>
      </c>
      <c r="O175" s="5" t="str">
        <f t="shared" si="11"/>
        <v/>
      </c>
      <c r="P175" s="10"/>
      <c r="Q175" s="6">
        <f t="shared" si="12"/>
        <v>0</v>
      </c>
      <c r="R175" s="7"/>
      <c r="S175" s="8"/>
      <c r="T175" s="11"/>
    </row>
    <row r="176" spans="1:20" ht="13.5" customHeight="1" x14ac:dyDescent="0.3">
      <c r="A176" s="3">
        <v>173</v>
      </c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4">
        <f t="shared" si="10"/>
        <v>0</v>
      </c>
      <c r="O176" s="5" t="str">
        <f t="shared" si="11"/>
        <v/>
      </c>
      <c r="P176" s="3"/>
      <c r="Q176" s="6">
        <f t="shared" si="12"/>
        <v>0</v>
      </c>
      <c r="R176" s="7"/>
      <c r="S176" s="8"/>
      <c r="T176" s="9"/>
    </row>
    <row r="177" spans="1:20" ht="13.5" customHeight="1" x14ac:dyDescent="0.3">
      <c r="A177" s="10">
        <v>174</v>
      </c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4">
        <f t="shared" si="10"/>
        <v>0</v>
      </c>
      <c r="O177" s="5" t="str">
        <f t="shared" si="11"/>
        <v/>
      </c>
      <c r="P177" s="10"/>
      <c r="Q177" s="6">
        <f t="shared" si="12"/>
        <v>0</v>
      </c>
      <c r="R177" s="7"/>
      <c r="S177" s="8"/>
      <c r="T177" s="11"/>
    </row>
    <row r="178" spans="1:20" ht="13.5" customHeight="1" x14ac:dyDescent="0.3">
      <c r="A178" s="3">
        <v>175</v>
      </c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4">
        <f t="shared" si="10"/>
        <v>0</v>
      </c>
      <c r="O178" s="5" t="str">
        <f t="shared" si="11"/>
        <v/>
      </c>
      <c r="P178" s="3"/>
      <c r="Q178" s="6">
        <f t="shared" si="12"/>
        <v>0</v>
      </c>
      <c r="R178" s="7"/>
      <c r="S178" s="8"/>
      <c r="T178" s="9"/>
    </row>
    <row r="179" spans="1:20" ht="13.5" customHeight="1" x14ac:dyDescent="0.3">
      <c r="A179" s="10">
        <v>176</v>
      </c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4">
        <f t="shared" si="10"/>
        <v>0</v>
      </c>
      <c r="O179" s="5" t="str">
        <f t="shared" si="11"/>
        <v/>
      </c>
      <c r="P179" s="10"/>
      <c r="Q179" s="6">
        <f t="shared" si="12"/>
        <v>0</v>
      </c>
      <c r="R179" s="7"/>
      <c r="S179" s="8"/>
      <c r="T179" s="11"/>
    </row>
    <row r="180" spans="1:20" ht="13.5" customHeight="1" x14ac:dyDescent="0.3">
      <c r="A180" s="3">
        <v>177</v>
      </c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4">
        <f t="shared" si="10"/>
        <v>0</v>
      </c>
      <c r="O180" s="5" t="str">
        <f t="shared" si="11"/>
        <v/>
      </c>
      <c r="P180" s="3"/>
      <c r="Q180" s="6">
        <f t="shared" si="12"/>
        <v>0</v>
      </c>
      <c r="R180" s="7"/>
      <c r="S180" s="8"/>
      <c r="T180" s="9"/>
    </row>
    <row r="181" spans="1:20" ht="13.5" customHeight="1" x14ac:dyDescent="0.3">
      <c r="A181" s="10">
        <v>178</v>
      </c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4">
        <f t="shared" si="10"/>
        <v>0</v>
      </c>
      <c r="O181" s="5" t="str">
        <f t="shared" si="11"/>
        <v/>
      </c>
      <c r="P181" s="10"/>
      <c r="Q181" s="6">
        <f t="shared" si="12"/>
        <v>0</v>
      </c>
      <c r="R181" s="7"/>
      <c r="S181" s="8"/>
      <c r="T181" s="11"/>
    </row>
    <row r="182" spans="1:20" ht="13.5" customHeight="1" x14ac:dyDescent="0.3">
      <c r="A182" s="3">
        <v>179</v>
      </c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4">
        <f t="shared" si="10"/>
        <v>0</v>
      </c>
      <c r="O182" s="5" t="str">
        <f t="shared" si="11"/>
        <v/>
      </c>
      <c r="P182" s="3"/>
      <c r="Q182" s="6">
        <f t="shared" si="12"/>
        <v>0</v>
      </c>
      <c r="R182" s="7"/>
      <c r="S182" s="8"/>
      <c r="T182" s="9"/>
    </row>
    <row r="183" spans="1:20" ht="13.5" customHeight="1" x14ac:dyDescent="0.3">
      <c r="A183" s="10">
        <v>180</v>
      </c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4">
        <f t="shared" si="10"/>
        <v>0</v>
      </c>
      <c r="O183" s="5" t="str">
        <f t="shared" si="11"/>
        <v/>
      </c>
      <c r="P183" s="10"/>
      <c r="Q183" s="6">
        <f t="shared" si="12"/>
        <v>0</v>
      </c>
      <c r="R183" s="7"/>
      <c r="S183" s="8"/>
      <c r="T183" s="11"/>
    </row>
    <row r="184" spans="1:20" ht="13.5" customHeight="1" x14ac:dyDescent="0.3">
      <c r="A184" s="3">
        <v>181</v>
      </c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4">
        <f t="shared" si="10"/>
        <v>0</v>
      </c>
      <c r="O184" s="5" t="str">
        <f t="shared" si="11"/>
        <v/>
      </c>
      <c r="P184" s="3"/>
      <c r="Q184" s="6">
        <f t="shared" si="12"/>
        <v>0</v>
      </c>
      <c r="R184" s="7"/>
      <c r="S184" s="8"/>
      <c r="T184" s="9"/>
    </row>
    <row r="185" spans="1:20" ht="13.5" customHeight="1" x14ac:dyDescent="0.3">
      <c r="A185" s="10">
        <v>182</v>
      </c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4">
        <f t="shared" si="10"/>
        <v>0</v>
      </c>
      <c r="O185" s="5" t="str">
        <f t="shared" si="11"/>
        <v/>
      </c>
      <c r="P185" s="10"/>
      <c r="Q185" s="6">
        <f t="shared" si="12"/>
        <v>0</v>
      </c>
      <c r="R185" s="7"/>
      <c r="S185" s="8"/>
      <c r="T185" s="11"/>
    </row>
    <row r="186" spans="1:20" ht="13.5" customHeight="1" x14ac:dyDescent="0.3">
      <c r="A186" s="3">
        <v>183</v>
      </c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4">
        <f t="shared" si="10"/>
        <v>0</v>
      </c>
      <c r="O186" s="5" t="str">
        <f t="shared" si="11"/>
        <v/>
      </c>
      <c r="P186" s="3"/>
      <c r="Q186" s="6">
        <f t="shared" si="12"/>
        <v>0</v>
      </c>
      <c r="R186" s="7"/>
      <c r="S186" s="8"/>
      <c r="T186" s="9"/>
    </row>
    <row r="187" spans="1:20" ht="13.5" customHeight="1" x14ac:dyDescent="0.3">
      <c r="A187" s="10">
        <v>184</v>
      </c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4">
        <f t="shared" si="10"/>
        <v>0</v>
      </c>
      <c r="O187" s="5" t="str">
        <f t="shared" si="11"/>
        <v/>
      </c>
      <c r="P187" s="10"/>
      <c r="Q187" s="6">
        <f t="shared" si="12"/>
        <v>0</v>
      </c>
      <c r="R187" s="7"/>
      <c r="S187" s="8"/>
      <c r="T187" s="11"/>
    </row>
    <row r="188" spans="1:20" ht="13.5" customHeight="1" x14ac:dyDescent="0.3">
      <c r="A188" s="3">
        <v>185</v>
      </c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4">
        <f t="shared" si="10"/>
        <v>0</v>
      </c>
      <c r="O188" s="5" t="str">
        <f t="shared" si="11"/>
        <v/>
      </c>
      <c r="P188" s="3"/>
      <c r="Q188" s="6">
        <f t="shared" si="12"/>
        <v>0</v>
      </c>
      <c r="R188" s="7"/>
      <c r="S188" s="8"/>
      <c r="T188" s="9"/>
    </row>
    <row r="189" spans="1:20" ht="13.5" customHeight="1" x14ac:dyDescent="0.3">
      <c r="A189" s="10">
        <v>186</v>
      </c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4">
        <f t="shared" si="10"/>
        <v>0</v>
      </c>
      <c r="O189" s="5" t="str">
        <f t="shared" si="11"/>
        <v/>
      </c>
      <c r="P189" s="10"/>
      <c r="Q189" s="6">
        <f t="shared" si="12"/>
        <v>0</v>
      </c>
      <c r="R189" s="7"/>
      <c r="S189" s="8"/>
      <c r="T189" s="11"/>
    </row>
    <row r="190" spans="1:20" ht="13.5" customHeight="1" x14ac:dyDescent="0.3">
      <c r="A190" s="3">
        <v>187</v>
      </c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4">
        <f t="shared" si="10"/>
        <v>0</v>
      </c>
      <c r="O190" s="5" t="str">
        <f t="shared" si="11"/>
        <v/>
      </c>
      <c r="P190" s="3"/>
      <c r="Q190" s="6">
        <f t="shared" si="12"/>
        <v>0</v>
      </c>
      <c r="R190" s="7"/>
      <c r="S190" s="8"/>
      <c r="T190" s="9"/>
    </row>
    <row r="191" spans="1:20" ht="13.5" customHeight="1" x14ac:dyDescent="0.3">
      <c r="A191" s="10">
        <v>188</v>
      </c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4">
        <f t="shared" si="10"/>
        <v>0</v>
      </c>
      <c r="O191" s="5" t="str">
        <f t="shared" si="11"/>
        <v/>
      </c>
      <c r="P191" s="10"/>
      <c r="Q191" s="6">
        <f t="shared" si="12"/>
        <v>0</v>
      </c>
      <c r="R191" s="7"/>
      <c r="S191" s="8"/>
      <c r="T191" s="11"/>
    </row>
    <row r="192" spans="1:20" ht="13.5" customHeight="1" x14ac:dyDescent="0.3">
      <c r="A192" s="3">
        <v>189</v>
      </c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4">
        <f t="shared" si="10"/>
        <v>0</v>
      </c>
      <c r="O192" s="5" t="str">
        <f t="shared" si="11"/>
        <v/>
      </c>
      <c r="P192" s="3"/>
      <c r="Q192" s="6">
        <f t="shared" si="12"/>
        <v>0</v>
      </c>
      <c r="R192" s="7"/>
      <c r="S192" s="8"/>
      <c r="T192" s="9"/>
    </row>
    <row r="193" spans="1:20" ht="13.5" customHeight="1" x14ac:dyDescent="0.3">
      <c r="A193" s="10">
        <v>190</v>
      </c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4">
        <f t="shared" si="10"/>
        <v>0</v>
      </c>
      <c r="O193" s="5" t="str">
        <f t="shared" si="11"/>
        <v/>
      </c>
      <c r="P193" s="10"/>
      <c r="Q193" s="6">
        <f t="shared" si="12"/>
        <v>0</v>
      </c>
      <c r="R193" s="7"/>
      <c r="S193" s="8"/>
      <c r="T193" s="11"/>
    </row>
    <row r="194" spans="1:20" ht="13.5" customHeight="1" x14ac:dyDescent="0.3">
      <c r="A194" s="3">
        <v>191</v>
      </c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4">
        <f t="shared" si="10"/>
        <v>0</v>
      </c>
      <c r="O194" s="5" t="str">
        <f t="shared" si="11"/>
        <v/>
      </c>
      <c r="P194" s="3"/>
      <c r="Q194" s="6">
        <f t="shared" si="12"/>
        <v>0</v>
      </c>
      <c r="R194" s="7"/>
      <c r="S194" s="8"/>
      <c r="T194" s="9"/>
    </row>
    <row r="195" spans="1:20" ht="13.5" customHeight="1" x14ac:dyDescent="0.3">
      <c r="A195" s="10">
        <v>192</v>
      </c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4">
        <f t="shared" si="10"/>
        <v>0</v>
      </c>
      <c r="O195" s="5" t="str">
        <f t="shared" si="11"/>
        <v/>
      </c>
      <c r="P195" s="10"/>
      <c r="Q195" s="6">
        <f t="shared" si="12"/>
        <v>0</v>
      </c>
      <c r="R195" s="7"/>
      <c r="S195" s="8"/>
      <c r="T195" s="11"/>
    </row>
    <row r="196" spans="1:20" ht="13.5" customHeight="1" x14ac:dyDescent="0.3">
      <c r="A196" s="3">
        <v>193</v>
      </c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4">
        <f t="shared" ref="N196:N259" si="13">IFERROR(L196-M196,"")</f>
        <v>0</v>
      </c>
      <c r="O196" s="5" t="str">
        <f t="shared" ref="O196:O259" si="14">IFERROR(M196/L196,"")</f>
        <v/>
      </c>
      <c r="P196" s="3"/>
      <c r="Q196" s="6">
        <f t="shared" ref="Q196:Q259" si="15">IFERROR(M196*P196,"")</f>
        <v>0</v>
      </c>
      <c r="R196" s="7"/>
      <c r="S196" s="8"/>
      <c r="T196" s="9"/>
    </row>
    <row r="197" spans="1:20" ht="13.5" customHeight="1" x14ac:dyDescent="0.3">
      <c r="A197" s="10">
        <v>194</v>
      </c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4">
        <f t="shared" si="13"/>
        <v>0</v>
      </c>
      <c r="O197" s="5" t="str">
        <f t="shared" si="14"/>
        <v/>
      </c>
      <c r="P197" s="10"/>
      <c r="Q197" s="6">
        <f t="shared" si="15"/>
        <v>0</v>
      </c>
      <c r="R197" s="7"/>
      <c r="S197" s="8"/>
      <c r="T197" s="11"/>
    </row>
    <row r="198" spans="1:20" ht="13.5" customHeight="1" x14ac:dyDescent="0.3">
      <c r="A198" s="3">
        <v>195</v>
      </c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4">
        <f t="shared" si="13"/>
        <v>0</v>
      </c>
      <c r="O198" s="5" t="str">
        <f t="shared" si="14"/>
        <v/>
      </c>
      <c r="P198" s="3"/>
      <c r="Q198" s="6">
        <f t="shared" si="15"/>
        <v>0</v>
      </c>
      <c r="R198" s="7"/>
      <c r="S198" s="8"/>
      <c r="T198" s="9"/>
    </row>
    <row r="199" spans="1:20" ht="13.5" customHeight="1" x14ac:dyDescent="0.3">
      <c r="A199" s="10">
        <v>196</v>
      </c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4">
        <f t="shared" si="13"/>
        <v>0</v>
      </c>
      <c r="O199" s="5" t="str">
        <f t="shared" si="14"/>
        <v/>
      </c>
      <c r="P199" s="10"/>
      <c r="Q199" s="6">
        <f t="shared" si="15"/>
        <v>0</v>
      </c>
      <c r="R199" s="7"/>
      <c r="S199" s="8"/>
      <c r="T199" s="11"/>
    </row>
    <row r="200" spans="1:20" ht="13.5" customHeight="1" x14ac:dyDescent="0.3">
      <c r="A200" s="3">
        <v>197</v>
      </c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4">
        <f t="shared" si="13"/>
        <v>0</v>
      </c>
      <c r="O200" s="5" t="str">
        <f t="shared" si="14"/>
        <v/>
      </c>
      <c r="P200" s="3"/>
      <c r="Q200" s="6">
        <f t="shared" si="15"/>
        <v>0</v>
      </c>
      <c r="R200" s="7"/>
      <c r="S200" s="8"/>
      <c r="T200" s="9"/>
    </row>
    <row r="201" spans="1:20" ht="13.5" customHeight="1" x14ac:dyDescent="0.3">
      <c r="A201" s="10">
        <v>198</v>
      </c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4">
        <f t="shared" si="13"/>
        <v>0</v>
      </c>
      <c r="O201" s="5" t="str">
        <f t="shared" si="14"/>
        <v/>
      </c>
      <c r="P201" s="10"/>
      <c r="Q201" s="6">
        <f t="shared" si="15"/>
        <v>0</v>
      </c>
      <c r="R201" s="7"/>
      <c r="S201" s="8"/>
      <c r="T201" s="11"/>
    </row>
    <row r="202" spans="1:20" ht="13.5" customHeight="1" x14ac:dyDescent="0.3">
      <c r="A202" s="3">
        <v>199</v>
      </c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4">
        <f t="shared" si="13"/>
        <v>0</v>
      </c>
      <c r="O202" s="5" t="str">
        <f t="shared" si="14"/>
        <v/>
      </c>
      <c r="P202" s="3"/>
      <c r="Q202" s="6">
        <f t="shared" si="15"/>
        <v>0</v>
      </c>
      <c r="R202" s="7"/>
      <c r="S202" s="8"/>
      <c r="T202" s="9"/>
    </row>
    <row r="203" spans="1:20" ht="13.5" customHeight="1" x14ac:dyDescent="0.3">
      <c r="A203" s="10">
        <v>200</v>
      </c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4">
        <f t="shared" si="13"/>
        <v>0</v>
      </c>
      <c r="O203" s="5" t="str">
        <f t="shared" si="14"/>
        <v/>
      </c>
      <c r="P203" s="10"/>
      <c r="Q203" s="6">
        <f t="shared" si="15"/>
        <v>0</v>
      </c>
      <c r="R203" s="7"/>
      <c r="S203" s="8"/>
      <c r="T203" s="11"/>
    </row>
    <row r="204" spans="1:20" ht="13.5" customHeight="1" x14ac:dyDescent="0.3">
      <c r="A204" s="3">
        <v>201</v>
      </c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4">
        <f t="shared" si="13"/>
        <v>0</v>
      </c>
      <c r="O204" s="5" t="str">
        <f t="shared" si="14"/>
        <v/>
      </c>
      <c r="P204" s="3"/>
      <c r="Q204" s="6">
        <f t="shared" si="15"/>
        <v>0</v>
      </c>
      <c r="R204" s="7"/>
      <c r="S204" s="8"/>
      <c r="T204" s="9"/>
    </row>
    <row r="205" spans="1:20" ht="13.5" customHeight="1" x14ac:dyDescent="0.3">
      <c r="A205" s="10">
        <v>202</v>
      </c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4">
        <f t="shared" si="13"/>
        <v>0</v>
      </c>
      <c r="O205" s="5" t="str">
        <f t="shared" si="14"/>
        <v/>
      </c>
      <c r="P205" s="10"/>
      <c r="Q205" s="6">
        <f t="shared" si="15"/>
        <v>0</v>
      </c>
      <c r="R205" s="7"/>
      <c r="S205" s="8"/>
      <c r="T205" s="11"/>
    </row>
    <row r="206" spans="1:20" ht="13.5" customHeight="1" x14ac:dyDescent="0.3">
      <c r="A206" s="3">
        <v>203</v>
      </c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4">
        <f t="shared" si="13"/>
        <v>0</v>
      </c>
      <c r="O206" s="5" t="str">
        <f t="shared" si="14"/>
        <v/>
      </c>
      <c r="P206" s="3"/>
      <c r="Q206" s="6">
        <f t="shared" si="15"/>
        <v>0</v>
      </c>
      <c r="R206" s="7"/>
      <c r="S206" s="8"/>
      <c r="T206" s="9"/>
    </row>
    <row r="207" spans="1:20" ht="13.5" customHeight="1" x14ac:dyDescent="0.3">
      <c r="A207" s="10">
        <v>204</v>
      </c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4">
        <f t="shared" si="13"/>
        <v>0</v>
      </c>
      <c r="O207" s="5" t="str">
        <f t="shared" si="14"/>
        <v/>
      </c>
      <c r="P207" s="10"/>
      <c r="Q207" s="6">
        <f t="shared" si="15"/>
        <v>0</v>
      </c>
      <c r="R207" s="7"/>
      <c r="S207" s="8"/>
      <c r="T207" s="11"/>
    </row>
    <row r="208" spans="1:20" ht="13.5" customHeight="1" x14ac:dyDescent="0.3">
      <c r="A208" s="3">
        <v>205</v>
      </c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4">
        <f t="shared" si="13"/>
        <v>0</v>
      </c>
      <c r="O208" s="5" t="str">
        <f t="shared" si="14"/>
        <v/>
      </c>
      <c r="P208" s="3"/>
      <c r="Q208" s="6">
        <f t="shared" si="15"/>
        <v>0</v>
      </c>
      <c r="R208" s="7"/>
      <c r="S208" s="8"/>
      <c r="T208" s="9"/>
    </row>
    <row r="209" spans="1:20" ht="13.5" customHeight="1" x14ac:dyDescent="0.3">
      <c r="A209" s="10">
        <v>206</v>
      </c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4">
        <f t="shared" si="13"/>
        <v>0</v>
      </c>
      <c r="O209" s="5" t="str">
        <f t="shared" si="14"/>
        <v/>
      </c>
      <c r="P209" s="10"/>
      <c r="Q209" s="6">
        <f t="shared" si="15"/>
        <v>0</v>
      </c>
      <c r="R209" s="7"/>
      <c r="S209" s="8"/>
      <c r="T209" s="11"/>
    </row>
    <row r="210" spans="1:20" ht="13.5" customHeight="1" x14ac:dyDescent="0.3">
      <c r="A210" s="3">
        <v>207</v>
      </c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4">
        <f t="shared" si="13"/>
        <v>0</v>
      </c>
      <c r="O210" s="5" t="str">
        <f t="shared" si="14"/>
        <v/>
      </c>
      <c r="P210" s="3"/>
      <c r="Q210" s="6">
        <f t="shared" si="15"/>
        <v>0</v>
      </c>
      <c r="R210" s="7"/>
      <c r="S210" s="8"/>
      <c r="T210" s="9"/>
    </row>
    <row r="211" spans="1:20" ht="13.5" customHeight="1" x14ac:dyDescent="0.3">
      <c r="A211" s="10">
        <v>208</v>
      </c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4">
        <f t="shared" si="13"/>
        <v>0</v>
      </c>
      <c r="O211" s="5" t="str">
        <f t="shared" si="14"/>
        <v/>
      </c>
      <c r="P211" s="10"/>
      <c r="Q211" s="6">
        <f t="shared" si="15"/>
        <v>0</v>
      </c>
      <c r="R211" s="7"/>
      <c r="S211" s="8"/>
      <c r="T211" s="11"/>
    </row>
    <row r="212" spans="1:20" ht="13.5" customHeight="1" x14ac:dyDescent="0.3">
      <c r="A212" s="3">
        <v>209</v>
      </c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4">
        <f t="shared" si="13"/>
        <v>0</v>
      </c>
      <c r="O212" s="5" t="str">
        <f t="shared" si="14"/>
        <v/>
      </c>
      <c r="P212" s="3"/>
      <c r="Q212" s="6">
        <f t="shared" si="15"/>
        <v>0</v>
      </c>
      <c r="R212" s="7"/>
      <c r="S212" s="8"/>
      <c r="T212" s="9"/>
    </row>
    <row r="213" spans="1:20" ht="13.5" customHeight="1" x14ac:dyDescent="0.3">
      <c r="A213" s="10">
        <v>210</v>
      </c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4">
        <f t="shared" si="13"/>
        <v>0</v>
      </c>
      <c r="O213" s="5" t="str">
        <f t="shared" si="14"/>
        <v/>
      </c>
      <c r="P213" s="10"/>
      <c r="Q213" s="6">
        <f t="shared" si="15"/>
        <v>0</v>
      </c>
      <c r="R213" s="7"/>
      <c r="S213" s="8"/>
      <c r="T213" s="11"/>
    </row>
    <row r="214" spans="1:20" ht="13.5" customHeight="1" x14ac:dyDescent="0.3">
      <c r="A214" s="3">
        <v>211</v>
      </c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4">
        <f t="shared" si="13"/>
        <v>0</v>
      </c>
      <c r="O214" s="5" t="str">
        <f t="shared" si="14"/>
        <v/>
      </c>
      <c r="P214" s="3"/>
      <c r="Q214" s="6">
        <f t="shared" si="15"/>
        <v>0</v>
      </c>
      <c r="R214" s="7"/>
      <c r="S214" s="8"/>
      <c r="T214" s="9"/>
    </row>
    <row r="215" spans="1:20" ht="13.5" customHeight="1" x14ac:dyDescent="0.3">
      <c r="A215" s="10">
        <v>212</v>
      </c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4">
        <f t="shared" si="13"/>
        <v>0</v>
      </c>
      <c r="O215" s="5" t="str">
        <f t="shared" si="14"/>
        <v/>
      </c>
      <c r="P215" s="10"/>
      <c r="Q215" s="6">
        <f t="shared" si="15"/>
        <v>0</v>
      </c>
      <c r="R215" s="7"/>
      <c r="S215" s="8"/>
      <c r="T215" s="11"/>
    </row>
    <row r="216" spans="1:20" ht="13.5" customHeight="1" x14ac:dyDescent="0.3">
      <c r="A216" s="3">
        <v>213</v>
      </c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4">
        <f t="shared" si="13"/>
        <v>0</v>
      </c>
      <c r="O216" s="5" t="str">
        <f t="shared" si="14"/>
        <v/>
      </c>
      <c r="P216" s="3"/>
      <c r="Q216" s="6">
        <f t="shared" si="15"/>
        <v>0</v>
      </c>
      <c r="R216" s="7"/>
      <c r="S216" s="8"/>
      <c r="T216" s="9"/>
    </row>
    <row r="217" spans="1:20" ht="13.5" customHeight="1" x14ac:dyDescent="0.3">
      <c r="A217" s="10">
        <v>214</v>
      </c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4">
        <f t="shared" si="13"/>
        <v>0</v>
      </c>
      <c r="O217" s="5" t="str">
        <f t="shared" si="14"/>
        <v/>
      </c>
      <c r="P217" s="10"/>
      <c r="Q217" s="6">
        <f t="shared" si="15"/>
        <v>0</v>
      </c>
      <c r="R217" s="7"/>
      <c r="S217" s="8"/>
      <c r="T217" s="11"/>
    </row>
    <row r="218" spans="1:20" ht="13.5" customHeight="1" x14ac:dyDescent="0.3">
      <c r="A218" s="3">
        <v>215</v>
      </c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4">
        <f t="shared" si="13"/>
        <v>0</v>
      </c>
      <c r="O218" s="5" t="str">
        <f t="shared" si="14"/>
        <v/>
      </c>
      <c r="P218" s="3"/>
      <c r="Q218" s="6">
        <f t="shared" si="15"/>
        <v>0</v>
      </c>
      <c r="R218" s="7"/>
      <c r="S218" s="8"/>
      <c r="T218" s="9"/>
    </row>
    <row r="219" spans="1:20" ht="13.5" customHeight="1" x14ac:dyDescent="0.3">
      <c r="A219" s="10">
        <v>216</v>
      </c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4">
        <f t="shared" si="13"/>
        <v>0</v>
      </c>
      <c r="O219" s="5" t="str">
        <f t="shared" si="14"/>
        <v/>
      </c>
      <c r="P219" s="10"/>
      <c r="Q219" s="6">
        <f t="shared" si="15"/>
        <v>0</v>
      </c>
      <c r="R219" s="7"/>
      <c r="S219" s="8"/>
      <c r="T219" s="11"/>
    </row>
    <row r="220" spans="1:20" ht="13.5" customHeight="1" x14ac:dyDescent="0.3">
      <c r="A220" s="3">
        <v>217</v>
      </c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4">
        <f t="shared" si="13"/>
        <v>0</v>
      </c>
      <c r="O220" s="5" t="str">
        <f t="shared" si="14"/>
        <v/>
      </c>
      <c r="P220" s="3"/>
      <c r="Q220" s="6">
        <f t="shared" si="15"/>
        <v>0</v>
      </c>
      <c r="R220" s="7"/>
      <c r="S220" s="8"/>
      <c r="T220" s="9"/>
    </row>
    <row r="221" spans="1:20" ht="13.5" customHeight="1" x14ac:dyDescent="0.3">
      <c r="A221" s="10">
        <v>218</v>
      </c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4">
        <f t="shared" si="13"/>
        <v>0</v>
      </c>
      <c r="O221" s="5" t="str">
        <f t="shared" si="14"/>
        <v/>
      </c>
      <c r="P221" s="10"/>
      <c r="Q221" s="6">
        <f t="shared" si="15"/>
        <v>0</v>
      </c>
      <c r="R221" s="7"/>
      <c r="S221" s="8"/>
      <c r="T221" s="11"/>
    </row>
    <row r="222" spans="1:20" ht="13.5" customHeight="1" x14ac:dyDescent="0.3">
      <c r="A222" s="3">
        <v>219</v>
      </c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4">
        <f t="shared" si="13"/>
        <v>0</v>
      </c>
      <c r="O222" s="5" t="str">
        <f t="shared" si="14"/>
        <v/>
      </c>
      <c r="P222" s="3"/>
      <c r="Q222" s="6">
        <f t="shared" si="15"/>
        <v>0</v>
      </c>
      <c r="R222" s="7"/>
      <c r="S222" s="8"/>
      <c r="T222" s="9"/>
    </row>
    <row r="223" spans="1:20" ht="13.5" customHeight="1" x14ac:dyDescent="0.3">
      <c r="A223" s="10">
        <v>220</v>
      </c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4">
        <f t="shared" si="13"/>
        <v>0</v>
      </c>
      <c r="O223" s="5" t="str">
        <f t="shared" si="14"/>
        <v/>
      </c>
      <c r="P223" s="10"/>
      <c r="Q223" s="6">
        <f t="shared" si="15"/>
        <v>0</v>
      </c>
      <c r="R223" s="7"/>
      <c r="S223" s="8"/>
      <c r="T223" s="11"/>
    </row>
    <row r="224" spans="1:20" ht="13.5" customHeight="1" x14ac:dyDescent="0.3">
      <c r="A224" s="3">
        <v>221</v>
      </c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4">
        <f t="shared" si="13"/>
        <v>0</v>
      </c>
      <c r="O224" s="5" t="str">
        <f t="shared" si="14"/>
        <v/>
      </c>
      <c r="P224" s="3"/>
      <c r="Q224" s="6">
        <f t="shared" si="15"/>
        <v>0</v>
      </c>
      <c r="R224" s="7"/>
      <c r="S224" s="8"/>
      <c r="T224" s="9"/>
    </row>
    <row r="225" spans="1:20" ht="13.5" customHeight="1" x14ac:dyDescent="0.3">
      <c r="A225" s="10">
        <v>222</v>
      </c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4">
        <f t="shared" si="13"/>
        <v>0</v>
      </c>
      <c r="O225" s="5" t="str">
        <f t="shared" si="14"/>
        <v/>
      </c>
      <c r="P225" s="10"/>
      <c r="Q225" s="6">
        <f t="shared" si="15"/>
        <v>0</v>
      </c>
      <c r="R225" s="7"/>
      <c r="S225" s="8"/>
      <c r="T225" s="11"/>
    </row>
    <row r="226" spans="1:20" ht="13.5" customHeight="1" x14ac:dyDescent="0.3">
      <c r="A226" s="3">
        <v>223</v>
      </c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4">
        <f t="shared" si="13"/>
        <v>0</v>
      </c>
      <c r="O226" s="5" t="str">
        <f t="shared" si="14"/>
        <v/>
      </c>
      <c r="P226" s="3"/>
      <c r="Q226" s="6">
        <f t="shared" si="15"/>
        <v>0</v>
      </c>
      <c r="R226" s="7"/>
      <c r="S226" s="8"/>
      <c r="T226" s="9"/>
    </row>
    <row r="227" spans="1:20" ht="13.5" customHeight="1" x14ac:dyDescent="0.3">
      <c r="A227" s="10">
        <v>224</v>
      </c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4">
        <f t="shared" si="13"/>
        <v>0</v>
      </c>
      <c r="O227" s="5" t="str">
        <f t="shared" si="14"/>
        <v/>
      </c>
      <c r="P227" s="10"/>
      <c r="Q227" s="6">
        <f t="shared" si="15"/>
        <v>0</v>
      </c>
      <c r="R227" s="7"/>
      <c r="S227" s="8"/>
      <c r="T227" s="11"/>
    </row>
    <row r="228" spans="1:20" ht="13.5" customHeight="1" x14ac:dyDescent="0.3">
      <c r="A228" s="3">
        <v>225</v>
      </c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4">
        <f t="shared" si="13"/>
        <v>0</v>
      </c>
      <c r="O228" s="5" t="str">
        <f t="shared" si="14"/>
        <v/>
      </c>
      <c r="P228" s="3"/>
      <c r="Q228" s="6">
        <f t="shared" si="15"/>
        <v>0</v>
      </c>
      <c r="R228" s="7"/>
      <c r="S228" s="8"/>
      <c r="T228" s="9"/>
    </row>
    <row r="229" spans="1:20" ht="13.5" customHeight="1" x14ac:dyDescent="0.3">
      <c r="A229" s="10">
        <v>226</v>
      </c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4">
        <f t="shared" si="13"/>
        <v>0</v>
      </c>
      <c r="O229" s="5" t="str">
        <f t="shared" si="14"/>
        <v/>
      </c>
      <c r="P229" s="10"/>
      <c r="Q229" s="6">
        <f t="shared" si="15"/>
        <v>0</v>
      </c>
      <c r="R229" s="7"/>
      <c r="S229" s="8"/>
      <c r="T229" s="11"/>
    </row>
    <row r="230" spans="1:20" ht="13.5" customHeight="1" x14ac:dyDescent="0.3">
      <c r="A230" s="3">
        <v>227</v>
      </c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4">
        <f t="shared" si="13"/>
        <v>0</v>
      </c>
      <c r="O230" s="5" t="str">
        <f t="shared" si="14"/>
        <v/>
      </c>
      <c r="P230" s="3"/>
      <c r="Q230" s="6">
        <f t="shared" si="15"/>
        <v>0</v>
      </c>
      <c r="R230" s="7"/>
      <c r="S230" s="8"/>
      <c r="T230" s="9"/>
    </row>
    <row r="231" spans="1:20" ht="13.5" customHeight="1" x14ac:dyDescent="0.3">
      <c r="A231" s="10">
        <v>228</v>
      </c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4">
        <f t="shared" si="13"/>
        <v>0</v>
      </c>
      <c r="O231" s="5" t="str">
        <f t="shared" si="14"/>
        <v/>
      </c>
      <c r="P231" s="10"/>
      <c r="Q231" s="6">
        <f t="shared" si="15"/>
        <v>0</v>
      </c>
      <c r="R231" s="7"/>
      <c r="S231" s="8"/>
      <c r="T231" s="11"/>
    </row>
    <row r="232" spans="1:20" ht="13.5" customHeight="1" x14ac:dyDescent="0.3">
      <c r="A232" s="3">
        <v>229</v>
      </c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4">
        <f t="shared" si="13"/>
        <v>0</v>
      </c>
      <c r="O232" s="5" t="str">
        <f t="shared" si="14"/>
        <v/>
      </c>
      <c r="P232" s="3"/>
      <c r="Q232" s="6">
        <f t="shared" si="15"/>
        <v>0</v>
      </c>
      <c r="R232" s="7"/>
      <c r="S232" s="8"/>
      <c r="T232" s="9"/>
    </row>
    <row r="233" spans="1:20" ht="13.5" customHeight="1" x14ac:dyDescent="0.3">
      <c r="A233" s="10">
        <v>230</v>
      </c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4">
        <f t="shared" si="13"/>
        <v>0</v>
      </c>
      <c r="O233" s="5" t="str">
        <f t="shared" si="14"/>
        <v/>
      </c>
      <c r="P233" s="10"/>
      <c r="Q233" s="6">
        <f t="shared" si="15"/>
        <v>0</v>
      </c>
      <c r="R233" s="7"/>
      <c r="S233" s="8"/>
      <c r="T233" s="11"/>
    </row>
    <row r="234" spans="1:20" ht="13.5" customHeight="1" x14ac:dyDescent="0.3">
      <c r="A234" s="3">
        <v>231</v>
      </c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4">
        <f t="shared" si="13"/>
        <v>0</v>
      </c>
      <c r="O234" s="5" t="str">
        <f t="shared" si="14"/>
        <v/>
      </c>
      <c r="P234" s="3"/>
      <c r="Q234" s="6">
        <f t="shared" si="15"/>
        <v>0</v>
      </c>
      <c r="R234" s="7"/>
      <c r="S234" s="8"/>
      <c r="T234" s="9"/>
    </row>
    <row r="235" spans="1:20" ht="13.5" customHeight="1" x14ac:dyDescent="0.3">
      <c r="A235" s="10">
        <v>232</v>
      </c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4">
        <f t="shared" si="13"/>
        <v>0</v>
      </c>
      <c r="O235" s="5" t="str">
        <f t="shared" si="14"/>
        <v/>
      </c>
      <c r="P235" s="10"/>
      <c r="Q235" s="6">
        <f t="shared" si="15"/>
        <v>0</v>
      </c>
      <c r="R235" s="7"/>
      <c r="S235" s="8"/>
      <c r="T235" s="11"/>
    </row>
    <row r="236" spans="1:20" ht="13.5" customHeight="1" x14ac:dyDescent="0.3">
      <c r="A236" s="3">
        <v>233</v>
      </c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4">
        <f t="shared" si="13"/>
        <v>0</v>
      </c>
      <c r="O236" s="5" t="str">
        <f t="shared" si="14"/>
        <v/>
      </c>
      <c r="P236" s="3"/>
      <c r="Q236" s="6">
        <f t="shared" si="15"/>
        <v>0</v>
      </c>
      <c r="R236" s="7"/>
      <c r="S236" s="8"/>
      <c r="T236" s="9"/>
    </row>
    <row r="237" spans="1:20" ht="13.5" customHeight="1" x14ac:dyDescent="0.3">
      <c r="A237" s="10">
        <v>234</v>
      </c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4">
        <f t="shared" si="13"/>
        <v>0</v>
      </c>
      <c r="O237" s="5" t="str">
        <f t="shared" si="14"/>
        <v/>
      </c>
      <c r="P237" s="10"/>
      <c r="Q237" s="6">
        <f t="shared" si="15"/>
        <v>0</v>
      </c>
      <c r="R237" s="7"/>
      <c r="S237" s="8"/>
      <c r="T237" s="11"/>
    </row>
    <row r="238" spans="1:20" ht="13.5" customHeight="1" x14ac:dyDescent="0.3">
      <c r="A238" s="3">
        <v>235</v>
      </c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4">
        <f t="shared" si="13"/>
        <v>0</v>
      </c>
      <c r="O238" s="5" t="str">
        <f t="shared" si="14"/>
        <v/>
      </c>
      <c r="P238" s="3"/>
      <c r="Q238" s="6">
        <f t="shared" si="15"/>
        <v>0</v>
      </c>
      <c r="R238" s="7"/>
      <c r="S238" s="8"/>
      <c r="T238" s="9"/>
    </row>
    <row r="239" spans="1:20" ht="13.5" customHeight="1" x14ac:dyDescent="0.3">
      <c r="A239" s="10">
        <v>236</v>
      </c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4">
        <f t="shared" si="13"/>
        <v>0</v>
      </c>
      <c r="O239" s="5" t="str">
        <f t="shared" si="14"/>
        <v/>
      </c>
      <c r="P239" s="10"/>
      <c r="Q239" s="6">
        <f t="shared" si="15"/>
        <v>0</v>
      </c>
      <c r="R239" s="7"/>
      <c r="S239" s="8"/>
      <c r="T239" s="11"/>
    </row>
    <row r="240" spans="1:20" ht="13.5" customHeight="1" x14ac:dyDescent="0.3">
      <c r="A240" s="3">
        <v>237</v>
      </c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4">
        <f t="shared" si="13"/>
        <v>0</v>
      </c>
      <c r="O240" s="5" t="str">
        <f t="shared" si="14"/>
        <v/>
      </c>
      <c r="P240" s="3"/>
      <c r="Q240" s="6">
        <f t="shared" si="15"/>
        <v>0</v>
      </c>
      <c r="R240" s="7"/>
      <c r="S240" s="8"/>
      <c r="T240" s="9"/>
    </row>
    <row r="241" spans="1:20" ht="13.5" customHeight="1" x14ac:dyDescent="0.3">
      <c r="A241" s="10">
        <v>238</v>
      </c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4">
        <f t="shared" si="13"/>
        <v>0</v>
      </c>
      <c r="O241" s="5" t="str">
        <f t="shared" si="14"/>
        <v/>
      </c>
      <c r="P241" s="10"/>
      <c r="Q241" s="6">
        <f t="shared" si="15"/>
        <v>0</v>
      </c>
      <c r="R241" s="7"/>
      <c r="S241" s="8"/>
      <c r="T241" s="11"/>
    </row>
    <row r="242" spans="1:20" ht="13.5" customHeight="1" x14ac:dyDescent="0.3">
      <c r="A242" s="3">
        <v>239</v>
      </c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4">
        <f t="shared" si="13"/>
        <v>0</v>
      </c>
      <c r="O242" s="5" t="str">
        <f t="shared" si="14"/>
        <v/>
      </c>
      <c r="P242" s="3"/>
      <c r="Q242" s="6">
        <f t="shared" si="15"/>
        <v>0</v>
      </c>
      <c r="R242" s="7"/>
      <c r="S242" s="8"/>
      <c r="T242" s="9"/>
    </row>
    <row r="243" spans="1:20" ht="13.5" customHeight="1" x14ac:dyDescent="0.3">
      <c r="A243" s="10">
        <v>240</v>
      </c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4">
        <f t="shared" si="13"/>
        <v>0</v>
      </c>
      <c r="O243" s="5" t="str">
        <f t="shared" si="14"/>
        <v/>
      </c>
      <c r="P243" s="10"/>
      <c r="Q243" s="6">
        <f t="shared" si="15"/>
        <v>0</v>
      </c>
      <c r="R243" s="7"/>
      <c r="S243" s="8"/>
      <c r="T243" s="11"/>
    </row>
    <row r="244" spans="1:20" ht="13.5" customHeight="1" x14ac:dyDescent="0.3">
      <c r="A244" s="3">
        <v>241</v>
      </c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4">
        <f t="shared" si="13"/>
        <v>0</v>
      </c>
      <c r="O244" s="5" t="str">
        <f t="shared" si="14"/>
        <v/>
      </c>
      <c r="P244" s="3"/>
      <c r="Q244" s="6">
        <f t="shared" si="15"/>
        <v>0</v>
      </c>
      <c r="R244" s="7"/>
      <c r="S244" s="8"/>
      <c r="T244" s="9"/>
    </row>
    <row r="245" spans="1:20" ht="13.5" customHeight="1" x14ac:dyDescent="0.3">
      <c r="A245" s="10">
        <v>242</v>
      </c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4">
        <f t="shared" si="13"/>
        <v>0</v>
      </c>
      <c r="O245" s="5" t="str">
        <f t="shared" si="14"/>
        <v/>
      </c>
      <c r="P245" s="10"/>
      <c r="Q245" s="6">
        <f t="shared" si="15"/>
        <v>0</v>
      </c>
      <c r="R245" s="7"/>
      <c r="S245" s="8"/>
      <c r="T245" s="11"/>
    </row>
    <row r="246" spans="1:20" ht="13.5" customHeight="1" x14ac:dyDescent="0.3">
      <c r="A246" s="3">
        <v>243</v>
      </c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4">
        <f t="shared" si="13"/>
        <v>0</v>
      </c>
      <c r="O246" s="5" t="str">
        <f t="shared" si="14"/>
        <v/>
      </c>
      <c r="P246" s="3"/>
      <c r="Q246" s="6">
        <f t="shared" si="15"/>
        <v>0</v>
      </c>
      <c r="R246" s="7"/>
      <c r="S246" s="8"/>
      <c r="T246" s="9"/>
    </row>
    <row r="247" spans="1:20" ht="13.5" customHeight="1" x14ac:dyDescent="0.3">
      <c r="A247" s="10">
        <v>244</v>
      </c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4">
        <f t="shared" si="13"/>
        <v>0</v>
      </c>
      <c r="O247" s="5" t="str">
        <f t="shared" si="14"/>
        <v/>
      </c>
      <c r="P247" s="10"/>
      <c r="Q247" s="6">
        <f t="shared" si="15"/>
        <v>0</v>
      </c>
      <c r="R247" s="7"/>
      <c r="S247" s="8"/>
      <c r="T247" s="11"/>
    </row>
    <row r="248" spans="1:20" ht="13.5" customHeight="1" x14ac:dyDescent="0.3">
      <c r="A248" s="3">
        <v>245</v>
      </c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4">
        <f t="shared" si="13"/>
        <v>0</v>
      </c>
      <c r="O248" s="5" t="str">
        <f t="shared" si="14"/>
        <v/>
      </c>
      <c r="P248" s="3"/>
      <c r="Q248" s="6">
        <f t="shared" si="15"/>
        <v>0</v>
      </c>
      <c r="R248" s="7"/>
      <c r="S248" s="8"/>
      <c r="T248" s="9"/>
    </row>
    <row r="249" spans="1:20" ht="13.5" customHeight="1" x14ac:dyDescent="0.3">
      <c r="A249" s="10">
        <v>246</v>
      </c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4">
        <f t="shared" si="13"/>
        <v>0</v>
      </c>
      <c r="O249" s="5" t="str">
        <f t="shared" si="14"/>
        <v/>
      </c>
      <c r="P249" s="10"/>
      <c r="Q249" s="6">
        <f t="shared" si="15"/>
        <v>0</v>
      </c>
      <c r="R249" s="7"/>
      <c r="S249" s="8"/>
      <c r="T249" s="11"/>
    </row>
    <row r="250" spans="1:20" ht="13.5" customHeight="1" x14ac:dyDescent="0.3">
      <c r="A250" s="3">
        <v>247</v>
      </c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4">
        <f t="shared" si="13"/>
        <v>0</v>
      </c>
      <c r="O250" s="5" t="str">
        <f t="shared" si="14"/>
        <v/>
      </c>
      <c r="P250" s="3"/>
      <c r="Q250" s="6">
        <f t="shared" si="15"/>
        <v>0</v>
      </c>
      <c r="R250" s="7"/>
      <c r="S250" s="8"/>
      <c r="T250" s="9"/>
    </row>
    <row r="251" spans="1:20" ht="13.5" customHeight="1" x14ac:dyDescent="0.3">
      <c r="A251" s="10">
        <v>248</v>
      </c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4">
        <f t="shared" si="13"/>
        <v>0</v>
      </c>
      <c r="O251" s="5" t="str">
        <f t="shared" si="14"/>
        <v/>
      </c>
      <c r="P251" s="10"/>
      <c r="Q251" s="6">
        <f t="shared" si="15"/>
        <v>0</v>
      </c>
      <c r="R251" s="7"/>
      <c r="S251" s="8"/>
      <c r="T251" s="11"/>
    </row>
    <row r="252" spans="1:20" ht="13.5" customHeight="1" x14ac:dyDescent="0.3">
      <c r="A252" s="3">
        <v>249</v>
      </c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4">
        <f t="shared" si="13"/>
        <v>0</v>
      </c>
      <c r="O252" s="5" t="str">
        <f t="shared" si="14"/>
        <v/>
      </c>
      <c r="P252" s="3"/>
      <c r="Q252" s="6">
        <f t="shared" si="15"/>
        <v>0</v>
      </c>
      <c r="R252" s="7"/>
      <c r="S252" s="8"/>
      <c r="T252" s="9"/>
    </row>
    <row r="253" spans="1:20" ht="13.5" customHeight="1" x14ac:dyDescent="0.3">
      <c r="A253" s="10">
        <v>250</v>
      </c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4">
        <f t="shared" si="13"/>
        <v>0</v>
      </c>
      <c r="O253" s="5" t="str">
        <f t="shared" si="14"/>
        <v/>
      </c>
      <c r="P253" s="10"/>
      <c r="Q253" s="6">
        <f t="shared" si="15"/>
        <v>0</v>
      </c>
      <c r="R253" s="7"/>
      <c r="S253" s="8"/>
      <c r="T253" s="11"/>
    </row>
    <row r="254" spans="1:20" ht="13.5" customHeight="1" x14ac:dyDescent="0.3">
      <c r="A254" s="3">
        <v>251</v>
      </c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4">
        <f t="shared" si="13"/>
        <v>0</v>
      </c>
      <c r="O254" s="5" t="str">
        <f t="shared" si="14"/>
        <v/>
      </c>
      <c r="P254" s="3"/>
      <c r="Q254" s="6">
        <f t="shared" si="15"/>
        <v>0</v>
      </c>
      <c r="R254" s="7"/>
      <c r="S254" s="8"/>
      <c r="T254" s="9"/>
    </row>
    <row r="255" spans="1:20" ht="13.5" customHeight="1" x14ac:dyDescent="0.3">
      <c r="A255" s="10">
        <v>252</v>
      </c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4">
        <f t="shared" si="13"/>
        <v>0</v>
      </c>
      <c r="O255" s="5" t="str">
        <f t="shared" si="14"/>
        <v/>
      </c>
      <c r="P255" s="10"/>
      <c r="Q255" s="6">
        <f t="shared" si="15"/>
        <v>0</v>
      </c>
      <c r="R255" s="7"/>
      <c r="S255" s="8"/>
      <c r="T255" s="11"/>
    </row>
    <row r="256" spans="1:20" ht="13.5" customHeight="1" x14ac:dyDescent="0.3">
      <c r="A256" s="3">
        <v>253</v>
      </c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4">
        <f t="shared" si="13"/>
        <v>0</v>
      </c>
      <c r="O256" s="5" t="str">
        <f t="shared" si="14"/>
        <v/>
      </c>
      <c r="P256" s="3"/>
      <c r="Q256" s="6">
        <f t="shared" si="15"/>
        <v>0</v>
      </c>
      <c r="R256" s="7"/>
      <c r="S256" s="8"/>
      <c r="T256" s="9"/>
    </row>
    <row r="257" spans="1:20" ht="13.5" customHeight="1" x14ac:dyDescent="0.3">
      <c r="A257" s="10">
        <v>254</v>
      </c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4">
        <f t="shared" si="13"/>
        <v>0</v>
      </c>
      <c r="O257" s="5" t="str">
        <f t="shared" si="14"/>
        <v/>
      </c>
      <c r="P257" s="10"/>
      <c r="Q257" s="6">
        <f t="shared" si="15"/>
        <v>0</v>
      </c>
      <c r="R257" s="7"/>
      <c r="S257" s="8"/>
      <c r="T257" s="11"/>
    </row>
    <row r="258" spans="1:20" ht="13.5" customHeight="1" x14ac:dyDescent="0.3">
      <c r="A258" s="3">
        <v>255</v>
      </c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4">
        <f t="shared" si="13"/>
        <v>0</v>
      </c>
      <c r="O258" s="5" t="str">
        <f t="shared" si="14"/>
        <v/>
      </c>
      <c r="P258" s="3"/>
      <c r="Q258" s="6">
        <f t="shared" si="15"/>
        <v>0</v>
      </c>
      <c r="R258" s="7"/>
      <c r="S258" s="8"/>
      <c r="T258" s="9"/>
    </row>
    <row r="259" spans="1:20" ht="13.5" customHeight="1" x14ac:dyDescent="0.3">
      <c r="A259" s="10">
        <v>256</v>
      </c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4">
        <f t="shared" si="13"/>
        <v>0</v>
      </c>
      <c r="O259" s="5" t="str">
        <f t="shared" si="14"/>
        <v/>
      </c>
      <c r="P259" s="10"/>
      <c r="Q259" s="6">
        <f t="shared" si="15"/>
        <v>0</v>
      </c>
      <c r="R259" s="7"/>
      <c r="S259" s="8"/>
      <c r="T259" s="11"/>
    </row>
    <row r="260" spans="1:20" ht="13.5" customHeight="1" x14ac:dyDescent="0.3">
      <c r="A260" s="3">
        <v>257</v>
      </c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4">
        <f t="shared" ref="N260:N303" si="16">IFERROR(L260-M260,"")</f>
        <v>0</v>
      </c>
      <c r="O260" s="5" t="str">
        <f t="shared" ref="O260:O303" si="17">IFERROR(M260/L260,"")</f>
        <v/>
      </c>
      <c r="P260" s="3"/>
      <c r="Q260" s="6">
        <f t="shared" ref="Q260:Q303" si="18">IFERROR(M260*P260,"")</f>
        <v>0</v>
      </c>
      <c r="R260" s="7"/>
      <c r="S260" s="8"/>
      <c r="T260" s="9"/>
    </row>
    <row r="261" spans="1:20" ht="13.5" customHeight="1" x14ac:dyDescent="0.3">
      <c r="A261" s="10">
        <v>258</v>
      </c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4">
        <f t="shared" si="16"/>
        <v>0</v>
      </c>
      <c r="O261" s="5" t="str">
        <f t="shared" si="17"/>
        <v/>
      </c>
      <c r="P261" s="10"/>
      <c r="Q261" s="6">
        <f t="shared" si="18"/>
        <v>0</v>
      </c>
      <c r="R261" s="7"/>
      <c r="S261" s="8"/>
      <c r="T261" s="11"/>
    </row>
    <row r="262" spans="1:20" ht="13.5" customHeight="1" x14ac:dyDescent="0.3">
      <c r="A262" s="3">
        <v>259</v>
      </c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4">
        <f t="shared" si="16"/>
        <v>0</v>
      </c>
      <c r="O262" s="5" t="str">
        <f t="shared" si="17"/>
        <v/>
      </c>
      <c r="P262" s="3"/>
      <c r="Q262" s="6">
        <f t="shared" si="18"/>
        <v>0</v>
      </c>
      <c r="R262" s="7"/>
      <c r="S262" s="8"/>
      <c r="T262" s="9"/>
    </row>
    <row r="263" spans="1:20" ht="13.5" customHeight="1" x14ac:dyDescent="0.3">
      <c r="A263" s="10">
        <v>260</v>
      </c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4">
        <f t="shared" si="16"/>
        <v>0</v>
      </c>
      <c r="O263" s="5" t="str">
        <f t="shared" si="17"/>
        <v/>
      </c>
      <c r="P263" s="10"/>
      <c r="Q263" s="6">
        <f t="shared" si="18"/>
        <v>0</v>
      </c>
      <c r="R263" s="7"/>
      <c r="S263" s="8"/>
      <c r="T263" s="11"/>
    </row>
    <row r="264" spans="1:20" ht="13.5" customHeight="1" x14ac:dyDescent="0.3">
      <c r="A264" s="3">
        <v>261</v>
      </c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4">
        <f t="shared" si="16"/>
        <v>0</v>
      </c>
      <c r="O264" s="5" t="str">
        <f t="shared" si="17"/>
        <v/>
      </c>
      <c r="P264" s="3"/>
      <c r="Q264" s="6">
        <f t="shared" si="18"/>
        <v>0</v>
      </c>
      <c r="R264" s="7"/>
      <c r="S264" s="8"/>
      <c r="T264" s="9"/>
    </row>
    <row r="265" spans="1:20" ht="13.5" customHeight="1" x14ac:dyDescent="0.3">
      <c r="A265" s="10">
        <v>262</v>
      </c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4">
        <f t="shared" si="16"/>
        <v>0</v>
      </c>
      <c r="O265" s="5" t="str">
        <f t="shared" si="17"/>
        <v/>
      </c>
      <c r="P265" s="10"/>
      <c r="Q265" s="6">
        <f t="shared" si="18"/>
        <v>0</v>
      </c>
      <c r="R265" s="7"/>
      <c r="S265" s="8"/>
      <c r="T265" s="11"/>
    </row>
    <row r="266" spans="1:20" ht="13.5" customHeight="1" x14ac:dyDescent="0.3">
      <c r="A266" s="3">
        <v>263</v>
      </c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4">
        <f t="shared" si="16"/>
        <v>0</v>
      </c>
      <c r="O266" s="5" t="str">
        <f t="shared" si="17"/>
        <v/>
      </c>
      <c r="P266" s="3"/>
      <c r="Q266" s="6">
        <f t="shared" si="18"/>
        <v>0</v>
      </c>
      <c r="R266" s="7"/>
      <c r="S266" s="8"/>
      <c r="T266" s="9"/>
    </row>
    <row r="267" spans="1:20" ht="13.5" customHeight="1" x14ac:dyDescent="0.3">
      <c r="A267" s="10">
        <v>264</v>
      </c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4">
        <f t="shared" si="16"/>
        <v>0</v>
      </c>
      <c r="O267" s="5" t="str">
        <f t="shared" si="17"/>
        <v/>
      </c>
      <c r="P267" s="10"/>
      <c r="Q267" s="6">
        <f t="shared" si="18"/>
        <v>0</v>
      </c>
      <c r="R267" s="7"/>
      <c r="S267" s="8"/>
      <c r="T267" s="11"/>
    </row>
    <row r="268" spans="1:20" ht="13.5" customHeight="1" x14ac:dyDescent="0.3">
      <c r="A268" s="3">
        <v>265</v>
      </c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4">
        <f t="shared" si="16"/>
        <v>0</v>
      </c>
      <c r="O268" s="5" t="str">
        <f t="shared" si="17"/>
        <v/>
      </c>
      <c r="P268" s="3"/>
      <c r="Q268" s="6">
        <f t="shared" si="18"/>
        <v>0</v>
      </c>
      <c r="R268" s="7"/>
      <c r="S268" s="8"/>
      <c r="T268" s="9"/>
    </row>
    <row r="269" spans="1:20" ht="13.5" customHeight="1" x14ac:dyDescent="0.3">
      <c r="A269" s="10">
        <v>266</v>
      </c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4">
        <f t="shared" si="16"/>
        <v>0</v>
      </c>
      <c r="O269" s="5" t="str">
        <f t="shared" si="17"/>
        <v/>
      </c>
      <c r="P269" s="10"/>
      <c r="Q269" s="6">
        <f t="shared" si="18"/>
        <v>0</v>
      </c>
      <c r="R269" s="7"/>
      <c r="S269" s="8"/>
      <c r="T269" s="11"/>
    </row>
    <row r="270" spans="1:20" ht="13.5" customHeight="1" x14ac:dyDescent="0.3">
      <c r="A270" s="3">
        <v>267</v>
      </c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4">
        <f t="shared" si="16"/>
        <v>0</v>
      </c>
      <c r="O270" s="5" t="str">
        <f t="shared" si="17"/>
        <v/>
      </c>
      <c r="P270" s="3"/>
      <c r="Q270" s="6">
        <f t="shared" si="18"/>
        <v>0</v>
      </c>
      <c r="R270" s="7"/>
      <c r="S270" s="8"/>
      <c r="T270" s="9"/>
    </row>
    <row r="271" spans="1:20" ht="13.5" customHeight="1" x14ac:dyDescent="0.3">
      <c r="A271" s="10">
        <v>268</v>
      </c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4">
        <f t="shared" si="16"/>
        <v>0</v>
      </c>
      <c r="O271" s="5" t="str">
        <f t="shared" si="17"/>
        <v/>
      </c>
      <c r="P271" s="10"/>
      <c r="Q271" s="6">
        <f t="shared" si="18"/>
        <v>0</v>
      </c>
      <c r="R271" s="7"/>
      <c r="S271" s="8"/>
      <c r="T271" s="11"/>
    </row>
    <row r="272" spans="1:20" ht="13.5" customHeight="1" x14ac:dyDescent="0.3">
      <c r="A272" s="3">
        <v>269</v>
      </c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4">
        <f t="shared" si="16"/>
        <v>0</v>
      </c>
      <c r="O272" s="5" t="str">
        <f t="shared" si="17"/>
        <v/>
      </c>
      <c r="P272" s="3"/>
      <c r="Q272" s="6">
        <f t="shared" si="18"/>
        <v>0</v>
      </c>
      <c r="R272" s="7"/>
      <c r="S272" s="8"/>
      <c r="T272" s="9"/>
    </row>
    <row r="273" spans="1:20" ht="13.5" customHeight="1" x14ac:dyDescent="0.3">
      <c r="A273" s="10">
        <v>270</v>
      </c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4">
        <f t="shared" si="16"/>
        <v>0</v>
      </c>
      <c r="O273" s="5" t="str">
        <f t="shared" si="17"/>
        <v/>
      </c>
      <c r="P273" s="10"/>
      <c r="Q273" s="6">
        <f t="shared" si="18"/>
        <v>0</v>
      </c>
      <c r="R273" s="7"/>
      <c r="S273" s="8"/>
      <c r="T273" s="11"/>
    </row>
    <row r="274" spans="1:20" ht="13.5" customHeight="1" x14ac:dyDescent="0.3">
      <c r="A274" s="3">
        <v>271</v>
      </c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4">
        <f t="shared" si="16"/>
        <v>0</v>
      </c>
      <c r="O274" s="5" t="str">
        <f t="shared" si="17"/>
        <v/>
      </c>
      <c r="P274" s="3"/>
      <c r="Q274" s="6">
        <f t="shared" si="18"/>
        <v>0</v>
      </c>
      <c r="R274" s="7"/>
      <c r="S274" s="8"/>
      <c r="T274" s="9"/>
    </row>
    <row r="275" spans="1:20" ht="13.5" customHeight="1" x14ac:dyDescent="0.3">
      <c r="A275" s="10">
        <v>272</v>
      </c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4">
        <f t="shared" si="16"/>
        <v>0</v>
      </c>
      <c r="O275" s="5" t="str">
        <f t="shared" si="17"/>
        <v/>
      </c>
      <c r="P275" s="10"/>
      <c r="Q275" s="6">
        <f t="shared" si="18"/>
        <v>0</v>
      </c>
      <c r="R275" s="7"/>
      <c r="S275" s="8"/>
      <c r="T275" s="11"/>
    </row>
    <row r="276" spans="1:20" ht="13.5" customHeight="1" x14ac:dyDescent="0.3">
      <c r="A276" s="3">
        <v>273</v>
      </c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4">
        <f t="shared" si="16"/>
        <v>0</v>
      </c>
      <c r="O276" s="5" t="str">
        <f t="shared" si="17"/>
        <v/>
      </c>
      <c r="P276" s="3"/>
      <c r="Q276" s="6">
        <f t="shared" si="18"/>
        <v>0</v>
      </c>
      <c r="R276" s="7"/>
      <c r="S276" s="8"/>
      <c r="T276" s="9"/>
    </row>
    <row r="277" spans="1:20" ht="13.5" customHeight="1" x14ac:dyDescent="0.3">
      <c r="A277" s="10">
        <v>274</v>
      </c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4">
        <f t="shared" si="16"/>
        <v>0</v>
      </c>
      <c r="O277" s="5" t="str">
        <f t="shared" si="17"/>
        <v/>
      </c>
      <c r="P277" s="10"/>
      <c r="Q277" s="6">
        <f t="shared" si="18"/>
        <v>0</v>
      </c>
      <c r="R277" s="7"/>
      <c r="S277" s="8"/>
      <c r="T277" s="11"/>
    </row>
    <row r="278" spans="1:20" ht="13.5" customHeight="1" x14ac:dyDescent="0.3">
      <c r="A278" s="3">
        <v>275</v>
      </c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4">
        <f t="shared" si="16"/>
        <v>0</v>
      </c>
      <c r="O278" s="5" t="str">
        <f t="shared" si="17"/>
        <v/>
      </c>
      <c r="P278" s="3"/>
      <c r="Q278" s="6">
        <f t="shared" si="18"/>
        <v>0</v>
      </c>
      <c r="R278" s="7"/>
      <c r="S278" s="8"/>
      <c r="T278" s="9"/>
    </row>
    <row r="279" spans="1:20" ht="13.5" customHeight="1" x14ac:dyDescent="0.3">
      <c r="A279" s="10">
        <v>276</v>
      </c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4">
        <f t="shared" si="16"/>
        <v>0</v>
      </c>
      <c r="O279" s="5" t="str">
        <f t="shared" si="17"/>
        <v/>
      </c>
      <c r="P279" s="10"/>
      <c r="Q279" s="6">
        <f t="shared" si="18"/>
        <v>0</v>
      </c>
      <c r="R279" s="7"/>
      <c r="S279" s="8"/>
      <c r="T279" s="11"/>
    </row>
    <row r="280" spans="1:20" ht="13.5" customHeight="1" x14ac:dyDescent="0.3">
      <c r="A280" s="3">
        <v>277</v>
      </c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4">
        <f t="shared" si="16"/>
        <v>0</v>
      </c>
      <c r="O280" s="5" t="str">
        <f t="shared" si="17"/>
        <v/>
      </c>
      <c r="P280" s="3"/>
      <c r="Q280" s="6">
        <f t="shared" si="18"/>
        <v>0</v>
      </c>
      <c r="R280" s="7"/>
      <c r="S280" s="8"/>
      <c r="T280" s="9"/>
    </row>
    <row r="281" spans="1:20" ht="13.5" customHeight="1" x14ac:dyDescent="0.3">
      <c r="A281" s="10">
        <v>278</v>
      </c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4">
        <f t="shared" si="16"/>
        <v>0</v>
      </c>
      <c r="O281" s="5" t="str">
        <f t="shared" si="17"/>
        <v/>
      </c>
      <c r="P281" s="10"/>
      <c r="Q281" s="6">
        <f t="shared" si="18"/>
        <v>0</v>
      </c>
      <c r="R281" s="7"/>
      <c r="S281" s="8"/>
      <c r="T281" s="11"/>
    </row>
    <row r="282" spans="1:20" ht="13.5" customHeight="1" x14ac:dyDescent="0.3">
      <c r="A282" s="3">
        <v>279</v>
      </c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4">
        <f t="shared" si="16"/>
        <v>0</v>
      </c>
      <c r="O282" s="5" t="str">
        <f t="shared" si="17"/>
        <v/>
      </c>
      <c r="P282" s="3"/>
      <c r="Q282" s="6">
        <f t="shared" si="18"/>
        <v>0</v>
      </c>
      <c r="R282" s="7"/>
      <c r="S282" s="8"/>
      <c r="T282" s="9"/>
    </row>
    <row r="283" spans="1:20" ht="13.5" customHeight="1" x14ac:dyDescent="0.3">
      <c r="A283" s="10">
        <v>280</v>
      </c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4">
        <f t="shared" si="16"/>
        <v>0</v>
      </c>
      <c r="O283" s="5" t="str">
        <f t="shared" si="17"/>
        <v/>
      </c>
      <c r="P283" s="10"/>
      <c r="Q283" s="6">
        <f t="shared" si="18"/>
        <v>0</v>
      </c>
      <c r="R283" s="7"/>
      <c r="S283" s="8"/>
      <c r="T283" s="11"/>
    </row>
    <row r="284" spans="1:20" ht="13.5" customHeight="1" x14ac:dyDescent="0.3">
      <c r="A284" s="3">
        <v>281</v>
      </c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4">
        <f t="shared" si="16"/>
        <v>0</v>
      </c>
      <c r="O284" s="5" t="str">
        <f t="shared" si="17"/>
        <v/>
      </c>
      <c r="P284" s="3"/>
      <c r="Q284" s="6">
        <f t="shared" si="18"/>
        <v>0</v>
      </c>
      <c r="R284" s="7"/>
      <c r="S284" s="8"/>
      <c r="T284" s="9"/>
    </row>
    <row r="285" spans="1:20" ht="13.5" customHeight="1" x14ac:dyDescent="0.3">
      <c r="A285" s="10">
        <v>282</v>
      </c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4">
        <f t="shared" si="16"/>
        <v>0</v>
      </c>
      <c r="O285" s="5" t="str">
        <f t="shared" si="17"/>
        <v/>
      </c>
      <c r="P285" s="10"/>
      <c r="Q285" s="6">
        <f t="shared" si="18"/>
        <v>0</v>
      </c>
      <c r="R285" s="7"/>
      <c r="S285" s="8"/>
      <c r="T285" s="11"/>
    </row>
    <row r="286" spans="1:20" ht="13.5" customHeight="1" x14ac:dyDescent="0.3">
      <c r="A286" s="3">
        <v>283</v>
      </c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4">
        <f t="shared" si="16"/>
        <v>0</v>
      </c>
      <c r="O286" s="5" t="str">
        <f t="shared" si="17"/>
        <v/>
      </c>
      <c r="P286" s="3"/>
      <c r="Q286" s="6">
        <f t="shared" si="18"/>
        <v>0</v>
      </c>
      <c r="R286" s="7"/>
      <c r="S286" s="8"/>
      <c r="T286" s="9"/>
    </row>
    <row r="287" spans="1:20" ht="13.5" customHeight="1" x14ac:dyDescent="0.3">
      <c r="A287" s="10">
        <v>284</v>
      </c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4">
        <f t="shared" si="16"/>
        <v>0</v>
      </c>
      <c r="O287" s="5" t="str">
        <f t="shared" si="17"/>
        <v/>
      </c>
      <c r="P287" s="10"/>
      <c r="Q287" s="6">
        <f t="shared" si="18"/>
        <v>0</v>
      </c>
      <c r="R287" s="7"/>
      <c r="S287" s="8"/>
      <c r="T287" s="11"/>
    </row>
    <row r="288" spans="1:20" ht="13.5" customHeight="1" x14ac:dyDescent="0.3">
      <c r="A288" s="3">
        <v>285</v>
      </c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4">
        <f t="shared" si="16"/>
        <v>0</v>
      </c>
      <c r="O288" s="5" t="str">
        <f t="shared" si="17"/>
        <v/>
      </c>
      <c r="P288" s="3"/>
      <c r="Q288" s="6">
        <f t="shared" si="18"/>
        <v>0</v>
      </c>
      <c r="R288" s="7"/>
      <c r="S288" s="8"/>
      <c r="T288" s="9"/>
    </row>
    <row r="289" spans="1:20" ht="13.5" customHeight="1" x14ac:dyDescent="0.3">
      <c r="A289" s="10">
        <v>286</v>
      </c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4">
        <f t="shared" si="16"/>
        <v>0</v>
      </c>
      <c r="O289" s="5" t="str">
        <f t="shared" si="17"/>
        <v/>
      </c>
      <c r="P289" s="10"/>
      <c r="Q289" s="6">
        <f t="shared" si="18"/>
        <v>0</v>
      </c>
      <c r="R289" s="7"/>
      <c r="S289" s="8"/>
      <c r="T289" s="11"/>
    </row>
    <row r="290" spans="1:20" ht="13.5" customHeight="1" x14ac:dyDescent="0.3">
      <c r="A290" s="3">
        <v>287</v>
      </c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4">
        <f t="shared" si="16"/>
        <v>0</v>
      </c>
      <c r="O290" s="5" t="str">
        <f t="shared" si="17"/>
        <v/>
      </c>
      <c r="P290" s="3"/>
      <c r="Q290" s="6">
        <f t="shared" si="18"/>
        <v>0</v>
      </c>
      <c r="R290" s="7"/>
      <c r="S290" s="8"/>
      <c r="T290" s="9"/>
    </row>
    <row r="291" spans="1:20" ht="13.5" customHeight="1" x14ac:dyDescent="0.3">
      <c r="A291" s="10">
        <v>288</v>
      </c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4">
        <f t="shared" si="16"/>
        <v>0</v>
      </c>
      <c r="O291" s="5" t="str">
        <f t="shared" si="17"/>
        <v/>
      </c>
      <c r="P291" s="10"/>
      <c r="Q291" s="6">
        <f t="shared" si="18"/>
        <v>0</v>
      </c>
      <c r="R291" s="7"/>
      <c r="S291" s="8"/>
      <c r="T291" s="11"/>
    </row>
    <row r="292" spans="1:20" ht="13.5" customHeight="1" x14ac:dyDescent="0.3">
      <c r="A292" s="3">
        <v>289</v>
      </c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4">
        <f t="shared" si="16"/>
        <v>0</v>
      </c>
      <c r="O292" s="5" t="str">
        <f t="shared" si="17"/>
        <v/>
      </c>
      <c r="P292" s="3"/>
      <c r="Q292" s="6">
        <f t="shared" si="18"/>
        <v>0</v>
      </c>
      <c r="R292" s="7"/>
      <c r="S292" s="8"/>
      <c r="T292" s="9"/>
    </row>
    <row r="293" spans="1:20" ht="13.5" customHeight="1" x14ac:dyDescent="0.3">
      <c r="A293" s="10">
        <v>290</v>
      </c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4">
        <f t="shared" si="16"/>
        <v>0</v>
      </c>
      <c r="O293" s="5" t="str">
        <f t="shared" si="17"/>
        <v/>
      </c>
      <c r="P293" s="10"/>
      <c r="Q293" s="6">
        <f t="shared" si="18"/>
        <v>0</v>
      </c>
      <c r="R293" s="7"/>
      <c r="S293" s="8"/>
      <c r="T293" s="11"/>
    </row>
    <row r="294" spans="1:20" ht="13.5" customHeight="1" x14ac:dyDescent="0.3">
      <c r="A294" s="3">
        <v>291</v>
      </c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4">
        <f t="shared" si="16"/>
        <v>0</v>
      </c>
      <c r="O294" s="5" t="str">
        <f t="shared" si="17"/>
        <v/>
      </c>
      <c r="P294" s="3"/>
      <c r="Q294" s="6">
        <f t="shared" si="18"/>
        <v>0</v>
      </c>
      <c r="R294" s="7"/>
      <c r="S294" s="8"/>
      <c r="T294" s="9"/>
    </row>
    <row r="295" spans="1:20" ht="13.5" customHeight="1" x14ac:dyDescent="0.3">
      <c r="A295" s="10">
        <v>292</v>
      </c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4">
        <f t="shared" si="16"/>
        <v>0</v>
      </c>
      <c r="O295" s="5" t="str">
        <f t="shared" si="17"/>
        <v/>
      </c>
      <c r="P295" s="10"/>
      <c r="Q295" s="6">
        <f t="shared" si="18"/>
        <v>0</v>
      </c>
      <c r="R295" s="7"/>
      <c r="S295" s="8"/>
      <c r="T295" s="11"/>
    </row>
    <row r="296" spans="1:20" ht="13.5" customHeight="1" x14ac:dyDescent="0.3">
      <c r="A296" s="3">
        <v>293</v>
      </c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4">
        <f t="shared" si="16"/>
        <v>0</v>
      </c>
      <c r="O296" s="5" t="str">
        <f t="shared" si="17"/>
        <v/>
      </c>
      <c r="P296" s="3"/>
      <c r="Q296" s="6">
        <f t="shared" si="18"/>
        <v>0</v>
      </c>
      <c r="R296" s="7"/>
      <c r="S296" s="8"/>
      <c r="T296" s="9"/>
    </row>
    <row r="297" spans="1:20" ht="13.5" customHeight="1" x14ac:dyDescent="0.3">
      <c r="A297" s="10">
        <v>294</v>
      </c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4">
        <f t="shared" si="16"/>
        <v>0</v>
      </c>
      <c r="O297" s="5" t="str">
        <f t="shared" si="17"/>
        <v/>
      </c>
      <c r="P297" s="10"/>
      <c r="Q297" s="6">
        <f t="shared" si="18"/>
        <v>0</v>
      </c>
      <c r="R297" s="7"/>
      <c r="S297" s="8"/>
      <c r="T297" s="11"/>
    </row>
    <row r="298" spans="1:20" ht="13.5" customHeight="1" x14ac:dyDescent="0.3">
      <c r="A298" s="3">
        <v>295</v>
      </c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4">
        <f t="shared" si="16"/>
        <v>0</v>
      </c>
      <c r="O298" s="5" t="str">
        <f t="shared" si="17"/>
        <v/>
      </c>
      <c r="P298" s="3"/>
      <c r="Q298" s="6">
        <f t="shared" si="18"/>
        <v>0</v>
      </c>
      <c r="R298" s="7"/>
      <c r="S298" s="8"/>
      <c r="T298" s="9"/>
    </row>
    <row r="299" spans="1:20" ht="13.5" customHeight="1" x14ac:dyDescent="0.3">
      <c r="A299" s="10">
        <v>296</v>
      </c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4">
        <f t="shared" si="16"/>
        <v>0</v>
      </c>
      <c r="O299" s="5" t="str">
        <f t="shared" si="17"/>
        <v/>
      </c>
      <c r="P299" s="10"/>
      <c r="Q299" s="6">
        <f t="shared" si="18"/>
        <v>0</v>
      </c>
      <c r="R299" s="7"/>
      <c r="S299" s="8"/>
      <c r="T299" s="11"/>
    </row>
    <row r="300" spans="1:20" ht="13.5" customHeight="1" x14ac:dyDescent="0.3">
      <c r="A300" s="3">
        <v>297</v>
      </c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4">
        <f t="shared" si="16"/>
        <v>0</v>
      </c>
      <c r="O300" s="5" t="str">
        <f t="shared" si="17"/>
        <v/>
      </c>
      <c r="P300" s="3"/>
      <c r="Q300" s="6">
        <f t="shared" si="18"/>
        <v>0</v>
      </c>
      <c r="R300" s="7"/>
      <c r="S300" s="8"/>
      <c r="T300" s="9"/>
    </row>
    <row r="301" spans="1:20" ht="13.5" customHeight="1" x14ac:dyDescent="0.3">
      <c r="A301" s="10">
        <v>298</v>
      </c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4">
        <f t="shared" si="16"/>
        <v>0</v>
      </c>
      <c r="O301" s="5" t="str">
        <f t="shared" si="17"/>
        <v/>
      </c>
      <c r="P301" s="10"/>
      <c r="Q301" s="6">
        <f t="shared" si="18"/>
        <v>0</v>
      </c>
      <c r="R301" s="7"/>
      <c r="S301" s="8"/>
      <c r="T301" s="11"/>
    </row>
    <row r="302" spans="1:20" ht="13.5" customHeight="1" x14ac:dyDescent="0.3">
      <c r="A302" s="3">
        <v>299</v>
      </c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4">
        <f t="shared" si="16"/>
        <v>0</v>
      </c>
      <c r="O302" s="5" t="str">
        <f t="shared" si="17"/>
        <v/>
      </c>
      <c r="P302" s="3"/>
      <c r="Q302" s="6">
        <f t="shared" si="18"/>
        <v>0</v>
      </c>
      <c r="R302" s="7"/>
      <c r="S302" s="8"/>
      <c r="T302" s="9"/>
    </row>
    <row r="303" spans="1:20" ht="13.5" customHeight="1" x14ac:dyDescent="0.3">
      <c r="A303" s="10">
        <v>300</v>
      </c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4">
        <f t="shared" si="16"/>
        <v>0</v>
      </c>
      <c r="O303" s="5" t="str">
        <f t="shared" si="17"/>
        <v/>
      </c>
      <c r="P303" s="10"/>
      <c r="Q303" s="6">
        <f t="shared" si="18"/>
        <v>0</v>
      </c>
      <c r="R303" s="7"/>
      <c r="S303" s="8"/>
      <c r="T303" s="11"/>
    </row>
    <row r="305" spans="1:20" ht="12.75" customHeight="1" x14ac:dyDescent="0.3">
      <c r="A305" s="56" t="s">
        <v>22</v>
      </c>
      <c r="B305" s="56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</row>
    <row r="308" spans="1:20" ht="18" customHeight="1" x14ac:dyDescent="0.3">
      <c r="A308" s="57" t="s">
        <v>23</v>
      </c>
      <c r="B308" s="57"/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</row>
    <row r="309" spans="1:20" ht="15.75" customHeight="1" x14ac:dyDescent="0.3">
      <c r="A309" s="1" t="s">
        <v>24</v>
      </c>
      <c r="B309" s="1" t="s">
        <v>25</v>
      </c>
      <c r="C309" s="58" t="s">
        <v>26</v>
      </c>
      <c r="D309" s="58"/>
      <c r="E309" s="58"/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9" t="s">
        <v>27</v>
      </c>
      <c r="R309" s="59"/>
      <c r="S309" s="59"/>
      <c r="T309" s="59"/>
    </row>
    <row r="310" spans="1:20" ht="30" customHeight="1" x14ac:dyDescent="0.3">
      <c r="A310" s="12" t="s">
        <v>28</v>
      </c>
      <c r="B310" s="13" t="s">
        <v>29</v>
      </c>
      <c r="C310" s="63" t="s">
        <v>30</v>
      </c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4" t="s">
        <v>31</v>
      </c>
      <c r="R310" s="64"/>
      <c r="S310" s="64"/>
      <c r="T310" s="64"/>
    </row>
    <row r="311" spans="1:20" ht="30" customHeight="1" x14ac:dyDescent="0.3">
      <c r="A311" s="12" t="s">
        <v>32</v>
      </c>
      <c r="B311" s="13" t="s">
        <v>33</v>
      </c>
      <c r="C311" s="63" t="s">
        <v>34</v>
      </c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4" t="s">
        <v>35</v>
      </c>
      <c r="R311" s="64"/>
      <c r="S311" s="64"/>
      <c r="T311" s="64"/>
    </row>
    <row r="312" spans="1:20" ht="30" customHeight="1" x14ac:dyDescent="0.3">
      <c r="A312" s="12" t="s">
        <v>36</v>
      </c>
      <c r="B312" s="13" t="s">
        <v>37</v>
      </c>
      <c r="C312" s="63" t="s">
        <v>38</v>
      </c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4" t="s">
        <v>39</v>
      </c>
      <c r="R312" s="64"/>
      <c r="S312" s="64"/>
      <c r="T312" s="64"/>
    </row>
    <row r="313" spans="1:20" ht="30" customHeight="1" x14ac:dyDescent="0.3">
      <c r="A313" s="14" t="s">
        <v>40</v>
      </c>
      <c r="B313" s="15" t="s">
        <v>41</v>
      </c>
      <c r="C313" s="67" t="s">
        <v>42</v>
      </c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8" t="s">
        <v>43</v>
      </c>
      <c r="R313" s="68"/>
      <c r="S313" s="68"/>
      <c r="T313" s="68"/>
    </row>
    <row r="314" spans="1:20" ht="30" customHeight="1" x14ac:dyDescent="0.3">
      <c r="A314" s="16" t="s">
        <v>44</v>
      </c>
      <c r="B314" s="17" t="s">
        <v>45</v>
      </c>
      <c r="C314" s="69" t="s">
        <v>46</v>
      </c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70" t="s">
        <v>47</v>
      </c>
      <c r="R314" s="70"/>
      <c r="S314" s="70"/>
      <c r="T314" s="70"/>
    </row>
    <row r="315" spans="1:20" ht="30" customHeight="1" x14ac:dyDescent="0.3">
      <c r="A315" s="16" t="s">
        <v>48</v>
      </c>
      <c r="B315" s="17" t="s">
        <v>49</v>
      </c>
      <c r="C315" s="69" t="s">
        <v>50</v>
      </c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70" t="s">
        <v>47</v>
      </c>
      <c r="R315" s="70"/>
      <c r="S315" s="70"/>
      <c r="T315" s="70"/>
    </row>
    <row r="316" spans="1:20" ht="30" customHeight="1" x14ac:dyDescent="0.3">
      <c r="A316" s="18" t="s">
        <v>51</v>
      </c>
      <c r="B316" s="19" t="s">
        <v>52</v>
      </c>
      <c r="C316" s="65" t="s">
        <v>53</v>
      </c>
      <c r="D316" s="65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66" t="s">
        <v>54</v>
      </c>
      <c r="R316" s="66"/>
      <c r="S316" s="66"/>
      <c r="T316" s="66"/>
    </row>
    <row r="317" spans="1:20" ht="34.200000000000003" x14ac:dyDescent="0.3">
      <c r="A317" s="20" t="s">
        <v>55</v>
      </c>
      <c r="B317" s="21" t="s">
        <v>56</v>
      </c>
      <c r="C317" s="22" t="s">
        <v>57</v>
      </c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4" t="s">
        <v>58</v>
      </c>
      <c r="R317" s="23"/>
      <c r="S317" s="23"/>
      <c r="T317" s="23"/>
    </row>
  </sheetData>
  <mergeCells count="24">
    <mergeCell ref="C316:P316"/>
    <mergeCell ref="Q316:T316"/>
    <mergeCell ref="C313:P313"/>
    <mergeCell ref="Q313:T313"/>
    <mergeCell ref="C314:P314"/>
    <mergeCell ref="Q314:T314"/>
    <mergeCell ref="C315:P315"/>
    <mergeCell ref="Q315:T315"/>
    <mergeCell ref="C310:P310"/>
    <mergeCell ref="Q310:T310"/>
    <mergeCell ref="C311:P311"/>
    <mergeCell ref="Q311:T311"/>
    <mergeCell ref="C312:P312"/>
    <mergeCell ref="Q312:T312"/>
    <mergeCell ref="A1:T1"/>
    <mergeCell ref="A2:T2"/>
    <mergeCell ref="A305:T305"/>
    <mergeCell ref="A308:T308"/>
    <mergeCell ref="C309:P309"/>
    <mergeCell ref="Q309:T309"/>
    <mergeCell ref="T43:T44"/>
    <mergeCell ref="T45:T46"/>
    <mergeCell ref="T47:T50"/>
    <mergeCell ref="T52:T54"/>
  </mergeCells>
  <phoneticPr fontId="11" type="noConversion"/>
  <dataValidations count="5">
    <dataValidation type="list" allowBlank="1" sqref="H4:H303" xr:uid="{00000000-0002-0000-0000-000000000000}">
      <formula1>"Feminino,Masculino"</formula1>
      <formula2>0</formula2>
    </dataValidation>
    <dataValidation type="list" allowBlank="1" sqref="R4:R303" xr:uid="{00000000-0002-0000-0000-000001000000}">
      <formula1>"Sim,Não"</formula1>
      <formula2>0</formula2>
    </dataValidation>
    <dataValidation type="list" allowBlank="1" sqref="S4:S303" xr:uid="{00000000-0002-0000-0000-000002000000}">
      <formula1>"Sim — negócio em funcionamento,Sim — novo produto/serviço,Parcial,Não"</formula1>
      <formula2>0</formula2>
    </dataValidation>
    <dataValidation type="list" allowBlank="1" sqref="C4:C303" xr:uid="{00000000-0002-0000-0000-000003000000}">
      <formula1>"Nacala-a-Porto,Monapo"</formula1>
      <formula2>0</formula2>
    </dataValidation>
    <dataValidation type="list" allowBlank="1" sqref="J4:J303" xr:uid="{00000000-0002-0000-0000-000004000000}">
      <formula1>"Alim. perecível (revenda),Alim. não perecível (revenda),Alim. confeccionado/preparado,Produção própria / Machamba,Vestuário,Higiene e limpeza,Artesanato,Outro"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E8449"/>
  </sheetPr>
  <dimension ref="A1:G23"/>
  <sheetViews>
    <sheetView showGridLines="0" zoomScaleNormal="100" workbookViewId="0">
      <selection activeCell="G7" sqref="G7"/>
    </sheetView>
  </sheetViews>
  <sheetFormatPr defaultColWidth="8.5546875" defaultRowHeight="14.4" x14ac:dyDescent="0.3"/>
  <cols>
    <col min="1" max="1" width="40" customWidth="1"/>
    <col min="2" max="2" width="16" customWidth="1"/>
    <col min="3" max="3" width="14" customWidth="1"/>
    <col min="4" max="4" width="44" customWidth="1"/>
    <col min="5" max="5" width="13" customWidth="1"/>
    <col min="6" max="6" width="14" customWidth="1"/>
    <col min="7" max="7" width="32" customWidth="1"/>
  </cols>
  <sheetData>
    <row r="1" spans="1:7" ht="30" customHeight="1" x14ac:dyDescent="0.3">
      <c r="A1" s="54" t="s">
        <v>59</v>
      </c>
      <c r="B1" s="54"/>
      <c r="C1" s="54"/>
      <c r="D1" s="54"/>
      <c r="E1" s="54"/>
      <c r="F1" s="54"/>
      <c r="G1" s="54"/>
    </row>
    <row r="2" spans="1:7" ht="15" customHeight="1" x14ac:dyDescent="0.3">
      <c r="A2" s="55" t="s">
        <v>60</v>
      </c>
      <c r="B2" s="55"/>
      <c r="C2" s="55"/>
      <c r="D2" s="55"/>
      <c r="E2" s="55"/>
      <c r="F2" s="55"/>
      <c r="G2" s="55"/>
    </row>
    <row r="4" spans="1:7" ht="6" customHeight="1" x14ac:dyDescent="0.3"/>
    <row r="5" spans="1:7" ht="18" customHeight="1" x14ac:dyDescent="0.3">
      <c r="A5" s="71" t="s">
        <v>61</v>
      </c>
      <c r="B5" s="71"/>
      <c r="C5" s="71"/>
      <c r="D5" s="71"/>
      <c r="E5" s="71"/>
      <c r="F5" s="71"/>
      <c r="G5" s="71"/>
    </row>
    <row r="6" spans="1:7" ht="43.5" customHeight="1" x14ac:dyDescent="0.3">
      <c r="A6" s="25" t="s">
        <v>62</v>
      </c>
      <c r="B6" s="25" t="s">
        <v>63</v>
      </c>
      <c r="C6" s="25" t="s">
        <v>64</v>
      </c>
      <c r="D6" s="25" t="s">
        <v>65</v>
      </c>
      <c r="E6" s="25" t="s">
        <v>66</v>
      </c>
      <c r="F6" s="25" t="s">
        <v>67</v>
      </c>
      <c r="G6" s="25" t="s">
        <v>68</v>
      </c>
    </row>
    <row r="7" spans="1:7" ht="43.5" customHeight="1" x14ac:dyDescent="0.3">
      <c r="A7" s="26" t="s">
        <v>69</v>
      </c>
      <c r="B7" s="27" t="s">
        <v>70</v>
      </c>
      <c r="C7" s="28" t="s">
        <v>71</v>
      </c>
      <c r="D7" s="27" t="s">
        <v>72</v>
      </c>
      <c r="E7" s="29" t="str">
        <f>IF(COUNTA(Registo_Feiras!F4:F303)&gt;0,"✅ Realizada","⏳ Não registada")</f>
        <v>✅ Realizada</v>
      </c>
      <c r="F7" s="28" t="s">
        <v>73</v>
      </c>
      <c r="G7" s="30" t="s">
        <v>74</v>
      </c>
    </row>
    <row r="8" spans="1:7" ht="51" customHeight="1" x14ac:dyDescent="0.3">
      <c r="A8" s="31" t="s">
        <v>75</v>
      </c>
      <c r="B8" s="32" t="s">
        <v>76</v>
      </c>
      <c r="C8" s="33" t="s">
        <v>77</v>
      </c>
      <c r="D8" s="32" t="s">
        <v>78</v>
      </c>
      <c r="E8" s="34">
        <f>IFERROR((COUNTIF(Registo_Feiras!S4:S303,"Sim — negócio em funcionamento")+COUNTIF(Registo_Feiras!S4:S303,"Sim — novo produto/serviço"))/COUNTA(Registo_Feiras!F4:F303),"")</f>
        <v>0.8035714285714286</v>
      </c>
      <c r="F8" s="33" t="s">
        <v>79</v>
      </c>
      <c r="G8" s="35" t="s">
        <v>80</v>
      </c>
    </row>
    <row r="9" spans="1:7" ht="43.5" customHeight="1" x14ac:dyDescent="0.3">
      <c r="A9" s="36" t="s">
        <v>81</v>
      </c>
      <c r="B9" s="37" t="s">
        <v>82</v>
      </c>
      <c r="C9" s="38" t="s">
        <v>83</v>
      </c>
      <c r="D9" s="37" t="s">
        <v>84</v>
      </c>
      <c r="E9" s="39">
        <f>IFERROR(COUNTIF(Registo_Feiras!R4:R303,"Sim")/COUNTA(Registo_Feiras!F4:F303),"")</f>
        <v>0.625</v>
      </c>
      <c r="F9" s="38" t="s">
        <v>85</v>
      </c>
      <c r="G9" s="40" t="s">
        <v>86</v>
      </c>
    </row>
    <row r="11" spans="1:7" ht="18" customHeight="1" x14ac:dyDescent="0.3">
      <c r="A11" s="71" t="s">
        <v>87</v>
      </c>
      <c r="B11" s="71"/>
      <c r="C11" s="71"/>
      <c r="D11" s="71"/>
      <c r="E11" s="71"/>
      <c r="F11" s="71"/>
      <c r="G11" s="71"/>
    </row>
    <row r="12" spans="1:7" ht="43.5" customHeight="1" x14ac:dyDescent="0.3">
      <c r="A12" s="41" t="s">
        <v>88</v>
      </c>
      <c r="B12" s="41" t="s">
        <v>89</v>
      </c>
      <c r="C12" s="41" t="s">
        <v>68</v>
      </c>
    </row>
    <row r="13" spans="1:7" ht="13.5" customHeight="1" x14ac:dyDescent="0.3">
      <c r="A13" s="10" t="s">
        <v>90</v>
      </c>
      <c r="B13" s="42">
        <f>COUNTA(Registo_Feiras!F4:F303)</f>
        <v>56</v>
      </c>
      <c r="C13" s="43"/>
    </row>
    <row r="14" spans="1:7" ht="13.5" customHeight="1" x14ac:dyDescent="0.3">
      <c r="A14" s="10" t="s">
        <v>91</v>
      </c>
      <c r="B14" s="42">
        <f>SUMPRODUCT((Registo_Feiras!F4:F303&lt;&gt;"")/IF(COUNTIF(Registo_Feiras!F4:F303,Registo_Feiras!F4:F303)&gt;0,COUNTIF(Registo_Feiras!F4:F303,Registo_Feiras!F4:F303),1))</f>
        <v>14</v>
      </c>
      <c r="C14" s="43" t="s">
        <v>92</v>
      </c>
    </row>
    <row r="15" spans="1:7" ht="13.5" customHeight="1" x14ac:dyDescent="0.3">
      <c r="A15" s="10" t="s">
        <v>93</v>
      </c>
      <c r="B15" s="42">
        <f>COUNTIF(Registo_Feiras!H4:H303,"Feminino")</f>
        <v>40</v>
      </c>
      <c r="C15" s="43"/>
    </row>
    <row r="16" spans="1:7" ht="13.5" customHeight="1" x14ac:dyDescent="0.3">
      <c r="A16" s="10" t="s">
        <v>94</v>
      </c>
      <c r="B16" s="42">
        <f>COUNTIF(Registo_Feiras!H4:H303,"Masculino")</f>
        <v>16</v>
      </c>
      <c r="C16" s="43"/>
    </row>
    <row r="17" spans="1:7" ht="13.5" customHeight="1" x14ac:dyDescent="0.3">
      <c r="A17" s="44" t="s">
        <v>95</v>
      </c>
      <c r="B17" s="45">
        <f>IFERROR(SUM(Registo_Feiras!Q4:Q303),0)</f>
        <v>5943</v>
      </c>
      <c r="C17" s="46"/>
    </row>
    <row r="18" spans="1:7" ht="13.5" customHeight="1" x14ac:dyDescent="0.3">
      <c r="A18" s="44" t="s">
        <v>96</v>
      </c>
      <c r="B18" s="47">
        <f>IFERROR(SUM(Registo_Feiras!M4:M303),0)</f>
        <v>564</v>
      </c>
      <c r="C18" s="46"/>
    </row>
    <row r="19" spans="1:7" ht="13.5" customHeight="1" x14ac:dyDescent="0.3">
      <c r="A19" s="44" t="s">
        <v>97</v>
      </c>
      <c r="B19" s="48">
        <f>IFERROR(AVERAGEIF(Registo_Feiras!O4:O303,"&gt;"&amp;0),"")</f>
        <v>0.54462184873949582</v>
      </c>
      <c r="C19" s="46" t="s">
        <v>98</v>
      </c>
    </row>
    <row r="20" spans="1:7" ht="13.5" customHeight="1" x14ac:dyDescent="0.3">
      <c r="A20" s="7" t="s">
        <v>99</v>
      </c>
      <c r="B20" s="49">
        <f>COUNTIF(Registo_Feiras!R4:R303,"Sim")</f>
        <v>35</v>
      </c>
      <c r="C20" s="50" t="s">
        <v>100</v>
      </c>
    </row>
    <row r="21" spans="1:7" ht="13.5" customHeight="1" x14ac:dyDescent="0.3">
      <c r="A21" s="8" t="s">
        <v>101</v>
      </c>
      <c r="B21" s="51">
        <f>COUNTIF(Registo_Feiras!S4:S303,"Sim — negócio em funcionamento")+COUNTIF(Registo_Feiras!S4:S303,"Sim — novo produto/serviço")</f>
        <v>45</v>
      </c>
      <c r="C21" s="52" t="s">
        <v>102</v>
      </c>
    </row>
    <row r="23" spans="1:7" ht="15" customHeight="1" x14ac:dyDescent="0.3">
      <c r="A23" s="72" t="s">
        <v>103</v>
      </c>
      <c r="B23" s="72"/>
      <c r="C23" s="72"/>
      <c r="D23" s="72"/>
      <c r="E23" s="72"/>
      <c r="F23" s="72"/>
      <c r="G23" s="72"/>
    </row>
  </sheetData>
  <mergeCells count="5">
    <mergeCell ref="A1:G1"/>
    <mergeCell ref="A2:G2"/>
    <mergeCell ref="A5:G5"/>
    <mergeCell ref="A11:G11"/>
    <mergeCell ref="A23:G23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c5ab46-7543-4aba-b0fa-79d6a199bef5" xsi:nil="true"/>
    <lcf76f155ced4ddcb4097134ff3c332f xmlns="20d57abc-823c-4051-a81a-1a0a01a8f39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C8BB5B596CFDD4794B3344F0E8F53A4" ma:contentTypeVersion="15" ma:contentTypeDescription="Criar um novo documento." ma:contentTypeScope="" ma:versionID="9a7078cd21229583650f2264465a1c40">
  <xsd:schema xmlns:xsd="http://www.w3.org/2001/XMLSchema" xmlns:xs="http://www.w3.org/2001/XMLSchema" xmlns:p="http://schemas.microsoft.com/office/2006/metadata/properties" xmlns:ns2="20d57abc-823c-4051-a81a-1a0a01a8f39e" xmlns:ns3="54c5ab46-7543-4aba-b0fa-79d6a199bef5" targetNamespace="http://schemas.microsoft.com/office/2006/metadata/properties" ma:root="true" ma:fieldsID="4e45437c47114f519c494620e3e4bb67" ns2:_="" ns3:_="">
    <xsd:import namespace="20d57abc-823c-4051-a81a-1a0a01a8f39e"/>
    <xsd:import namespace="54c5ab46-7543-4aba-b0fa-79d6a199b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57abc-823c-4051-a81a-1a0a01a8f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m" ma:readOnly="false" ma:fieldId="{5cf76f15-5ced-4ddc-b409-7134ff3c332f}" ma:taxonomyMulti="true" ma:sspId="edc6e55a-975c-4e83-894d-449406ca2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ab46-7543-4aba-b0fa-79d6a199b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a739d7-e82a-41d6-a891-a689fdcdcba6}" ma:internalName="TaxCatchAll" ma:showField="CatchAllData" ma:web="54c5ab46-7543-4aba-b0fa-79d6a199b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31E72F2-0F72-4B77-A6B9-7696198D1566}">
  <ds:schemaRefs>
    <ds:schemaRef ds:uri="20d57abc-823c-4051-a81a-1a0a01a8f39e"/>
    <ds:schemaRef ds:uri="http://purl.org/dc/elements/1.1/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54c5ab46-7543-4aba-b0fa-79d6a199bef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DC719C2-CD86-4C32-A0FF-FF69E4449F0F}"/>
</file>

<file path=customXml/itemProps3.xml><?xml version="1.0" encoding="utf-8"?>
<ds:datastoreItem xmlns:ds="http://schemas.openxmlformats.org/officeDocument/2006/customXml" ds:itemID="{B170B44F-C666-4844-B255-47EEE53B68B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Registo_Feiras</vt:lpstr>
      <vt:lpstr>Resumo_Feira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Dionisio Mahumane</cp:lastModifiedBy>
  <cp:revision>0</cp:revision>
  <dcterms:created xsi:type="dcterms:W3CDTF">2026-05-18T08:19:52Z</dcterms:created>
  <dcterms:modified xsi:type="dcterms:W3CDTF">2026-07-08T11:54:31Z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0x010100DC8BB5B596CFDD4794B3344F0E8F53A4</vt:lpwstr>
  </property>
  <property fmtid="{D5CDD505-2E9C-101B-9397-08002B2CF9AE}" pid="3" name="MediaServiceImageTags">
    <vt:lpwstr/>
  </property>
</Properties>
</file>